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202300"/>
  <mc:AlternateContent xmlns:mc="http://schemas.openxmlformats.org/markup-compatibility/2006">
    <mc:Choice Requires="x15">
      <x15ac:absPath xmlns:x15ac="http://schemas.microsoft.com/office/spreadsheetml/2010/11/ac" url="https://ibm.sharepoint.com/sites/OP-IBMiPaaSProductDevelopment/Shared Documents/Project Pembroke Workstreams/Parts and Pricing/Calculators/Sizing calculators/IWHI Software/"/>
    </mc:Choice>
  </mc:AlternateContent>
  <xr:revisionPtr revIDLastSave="6" documentId="8_{67719CBD-121E-344B-B0A2-B436D3CCB173}" xr6:coauthVersionLast="47" xr6:coauthVersionMax="47" xr10:uidLastSave="{3923D776-36A9-3944-B64D-946640CCAC49}"/>
  <workbookProtection workbookAlgorithmName="SHA-512" workbookHashValue="qqAnCMVu6tpZwm5fZZyIpP1jW63S8mOXNafOt3atgwM9QDAlLLaEeIJmXOG9m5hzo6wqpLHP46o2psRH6ECNqQ==" workbookSaltValue="aEePgKkOD81qyHwru8m/Tg==" workbookSpinCount="100000" lockStructure="1"/>
  <bookViews>
    <workbookView xWindow="-2480" yWindow="-25700" windowWidth="38400" windowHeight="21100" xr2:uid="{A78FE673-11A3-BF4A-A99E-101DA8320B87}"/>
  </bookViews>
  <sheets>
    <sheet name="What to buy " sheetId="1" r:id="rId1"/>
    <sheet name="Metric definitions" sheetId="4" r:id="rId2"/>
    <sheet name="Master data"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5" i="1" l="1"/>
  <c r="C55" i="1"/>
  <c r="C33" i="1"/>
  <c r="C37" i="1"/>
  <c r="C38" i="1" s="1"/>
  <c r="H69" i="3" s="1"/>
  <c r="H70" i="3" s="1"/>
  <c r="H95" i="3"/>
  <c r="H96" i="3" s="1"/>
  <c r="C46" i="1"/>
  <c r="G46" i="1"/>
  <c r="F46" i="1"/>
  <c r="E46" i="1"/>
  <c r="D46" i="1"/>
  <c r="I52" i="3"/>
  <c r="I53" i="3" s="1"/>
  <c r="I57" i="3"/>
  <c r="I58" i="3"/>
  <c r="D36" i="1"/>
  <c r="I64" i="3" s="1"/>
  <c r="I65" i="3" s="1"/>
  <c r="D38" i="1"/>
  <c r="I69" i="3"/>
  <c r="I70" i="3"/>
  <c r="J52" i="3"/>
  <c r="J53" i="3" s="1"/>
  <c r="J57" i="3"/>
  <c r="J58" i="3"/>
  <c r="E36" i="1"/>
  <c r="J64" i="3" s="1"/>
  <c r="J65" i="3" s="1"/>
  <c r="E38" i="1"/>
  <c r="J69" i="3"/>
  <c r="J70" i="3"/>
  <c r="K52" i="3"/>
  <c r="K53" i="3" s="1"/>
  <c r="K57" i="3"/>
  <c r="K58" i="3"/>
  <c r="F36" i="1"/>
  <c r="K64" i="3" s="1"/>
  <c r="K65" i="3" s="1"/>
  <c r="F38" i="1"/>
  <c r="K69" i="3" s="1"/>
  <c r="K70" i="3" s="1"/>
  <c r="L52" i="3"/>
  <c r="L53" i="3" s="1"/>
  <c r="L57" i="3"/>
  <c r="L58" i="3" s="1"/>
  <c r="G36" i="1"/>
  <c r="L64" i="3"/>
  <c r="L65" i="3" s="1"/>
  <c r="G38" i="1"/>
  <c r="L69" i="3" s="1"/>
  <c r="L70" i="3" s="1"/>
  <c r="C36" i="1"/>
  <c r="H64" i="3"/>
  <c r="H65" i="3" s="1"/>
  <c r="E67" i="3"/>
  <c r="E68" i="3" s="1"/>
  <c r="H52" i="3"/>
  <c r="H53" i="3" s="1"/>
  <c r="H57" i="3"/>
  <c r="H58" i="3" s="1"/>
  <c r="E72" i="3"/>
  <c r="E73" i="3"/>
  <c r="B73" i="3"/>
  <c r="B72" i="3"/>
  <c r="B68" i="3"/>
  <c r="B67" i="3"/>
  <c r="C9" i="1"/>
  <c r="H9" i="3" s="1"/>
  <c r="H10" i="3" s="1"/>
  <c r="C17" i="1"/>
  <c r="C18" i="1" s="1"/>
  <c r="H4" i="3"/>
  <c r="H5" i="3" s="1"/>
  <c r="C11" i="1" s="1"/>
  <c r="E7" i="3"/>
  <c r="H20" i="3"/>
  <c r="H21" i="3" s="1"/>
  <c r="E23" i="3"/>
  <c r="H36" i="3"/>
  <c r="H37" i="3" s="1"/>
  <c r="H41" i="3"/>
  <c r="H42" i="3" s="1"/>
  <c r="H79" i="3"/>
  <c r="H80" i="3" s="1"/>
  <c r="H84" i="3"/>
  <c r="H85" i="3" s="1"/>
  <c r="D64" i="1"/>
  <c r="D66" i="1" s="1"/>
  <c r="E64" i="1"/>
  <c r="E66" i="1" s="1"/>
  <c r="F64" i="1"/>
  <c r="F66" i="1" s="1"/>
  <c r="G64" i="1"/>
  <c r="G66" i="1" s="1"/>
  <c r="C64" i="1"/>
  <c r="C66" i="1" s="1"/>
  <c r="L4" i="3"/>
  <c r="L5" i="3"/>
  <c r="L9" i="3"/>
  <c r="L10" i="3" s="1"/>
  <c r="L20" i="3"/>
  <c r="L21" i="3" s="1"/>
  <c r="L25" i="3"/>
  <c r="L26" i="3" s="1"/>
  <c r="L36" i="3"/>
  <c r="L37" i="3" s="1"/>
  <c r="L41" i="3"/>
  <c r="L42" i="3" s="1"/>
  <c r="L79" i="3"/>
  <c r="L80" i="3" s="1"/>
  <c r="L84" i="3"/>
  <c r="L85" i="3" s="1"/>
  <c r="L95" i="3"/>
  <c r="L96" i="3" s="1"/>
  <c r="K4" i="3"/>
  <c r="K5" i="3"/>
  <c r="K9" i="3"/>
  <c r="K10" i="3" s="1"/>
  <c r="K20" i="3"/>
  <c r="K21" i="3"/>
  <c r="K25" i="3"/>
  <c r="K26" i="3" s="1"/>
  <c r="K36" i="3"/>
  <c r="K37" i="3" s="1"/>
  <c r="F27" i="1" s="1"/>
  <c r="K41" i="3"/>
  <c r="K42" i="3"/>
  <c r="K79" i="3"/>
  <c r="K80" i="3"/>
  <c r="K84" i="3"/>
  <c r="K85" i="3" s="1"/>
  <c r="K95" i="3"/>
  <c r="K96" i="3" s="1"/>
  <c r="F55" i="1" s="1"/>
  <c r="J4" i="3"/>
  <c r="J5" i="3" s="1"/>
  <c r="E11" i="1" s="1"/>
  <c r="J9" i="3"/>
  <c r="J10" i="3"/>
  <c r="J20" i="3"/>
  <c r="J21" i="3"/>
  <c r="J25" i="3"/>
  <c r="J26" i="3" s="1"/>
  <c r="J36" i="3"/>
  <c r="J37" i="3"/>
  <c r="J41" i="3"/>
  <c r="J42" i="3"/>
  <c r="J79" i="3"/>
  <c r="J80" i="3"/>
  <c r="J84" i="3"/>
  <c r="J85" i="3" s="1"/>
  <c r="J95" i="3"/>
  <c r="J96" i="3"/>
  <c r="E55" i="1" s="1"/>
  <c r="I4" i="3"/>
  <c r="I5" i="3"/>
  <c r="I9" i="3"/>
  <c r="I10" i="3" s="1"/>
  <c r="I20" i="3"/>
  <c r="I21" i="3" s="1"/>
  <c r="I25" i="3"/>
  <c r="I26" i="3" s="1"/>
  <c r="I36" i="3"/>
  <c r="I37" i="3"/>
  <c r="I41" i="3"/>
  <c r="I42" i="3" s="1"/>
  <c r="D27" i="1" s="1"/>
  <c r="I79" i="3"/>
  <c r="I80" i="3" s="1"/>
  <c r="D47" i="1" s="1"/>
  <c r="I84" i="3"/>
  <c r="I85" i="3"/>
  <c r="I95" i="3"/>
  <c r="I96" i="3" s="1"/>
  <c r="D55" i="1" s="1"/>
  <c r="B88" i="3"/>
  <c r="E87" i="3"/>
  <c r="E88" i="3"/>
  <c r="B87" i="3"/>
  <c r="E60" i="3"/>
  <c r="E61" i="3"/>
  <c r="B61" i="3"/>
  <c r="B60" i="3"/>
  <c r="B45" i="3"/>
  <c r="E44" i="3"/>
  <c r="E45" i="3"/>
  <c r="B44" i="3"/>
  <c r="B29" i="3"/>
  <c r="E28" i="3"/>
  <c r="E29" i="3"/>
  <c r="B28" i="3"/>
  <c r="B13" i="3"/>
  <c r="B12" i="3"/>
  <c r="C10" i="1"/>
  <c r="C52" i="1"/>
  <c r="G54" i="1"/>
  <c r="F54" i="1"/>
  <c r="E54" i="1"/>
  <c r="D54" i="1"/>
  <c r="C54" i="1"/>
  <c r="G34" i="1"/>
  <c r="F34" i="1"/>
  <c r="E34" i="1"/>
  <c r="D34" i="1"/>
  <c r="G26" i="1"/>
  <c r="F26" i="1"/>
  <c r="E26" i="1"/>
  <c r="D26" i="1"/>
  <c r="C26" i="1"/>
  <c r="G18" i="1"/>
  <c r="F18" i="1"/>
  <c r="E18" i="1"/>
  <c r="D18" i="1"/>
  <c r="G10" i="1"/>
  <c r="F10" i="1"/>
  <c r="E10" i="1"/>
  <c r="D10" i="1"/>
  <c r="G16" i="1"/>
  <c r="F16" i="1"/>
  <c r="E16" i="1"/>
  <c r="D16" i="1"/>
  <c r="G52" i="1"/>
  <c r="F52" i="1"/>
  <c r="E52" i="1"/>
  <c r="D52" i="1"/>
  <c r="G44" i="1"/>
  <c r="F44" i="1"/>
  <c r="E44" i="1"/>
  <c r="D44" i="1"/>
  <c r="C44" i="1"/>
  <c r="G32" i="1"/>
  <c r="F32" i="1"/>
  <c r="E32" i="1"/>
  <c r="D32" i="1"/>
  <c r="C32" i="1"/>
  <c r="G24" i="1"/>
  <c r="F24" i="1"/>
  <c r="E24" i="1"/>
  <c r="D24" i="1"/>
  <c r="C24" i="1"/>
  <c r="G8" i="1"/>
  <c r="F8" i="1"/>
  <c r="E8" i="1"/>
  <c r="D8" i="1"/>
  <c r="C8" i="1"/>
  <c r="E82" i="3"/>
  <c r="E83" i="3" s="1"/>
  <c r="B83" i="3"/>
  <c r="B82" i="3"/>
  <c r="E39" i="3"/>
  <c r="E40" i="3"/>
  <c r="E8" i="3"/>
  <c r="E98" i="3"/>
  <c r="E99" i="3"/>
  <c r="B99" i="3"/>
  <c r="B98" i="3"/>
  <c r="E55" i="3"/>
  <c r="E56" i="3"/>
  <c r="B56" i="3"/>
  <c r="B55" i="3"/>
  <c r="B40" i="3"/>
  <c r="B39" i="3"/>
  <c r="E24" i="3"/>
  <c r="B24" i="3"/>
  <c r="B23" i="3"/>
  <c r="B7" i="3"/>
  <c r="B8" i="3"/>
  <c r="C16" i="1"/>
  <c r="C34" i="1"/>
  <c r="G19" i="1" l="1"/>
  <c r="C47" i="1"/>
  <c r="G27" i="1"/>
  <c r="E27" i="1"/>
  <c r="F47" i="1"/>
  <c r="C27" i="1"/>
  <c r="F39" i="1"/>
  <c r="D39" i="1"/>
  <c r="E47" i="1"/>
  <c r="E39" i="1"/>
  <c r="G11" i="1"/>
  <c r="F11" i="1"/>
  <c r="E19" i="1"/>
  <c r="C39" i="1"/>
  <c r="G47" i="1"/>
  <c r="D19" i="1"/>
  <c r="F19" i="1"/>
  <c r="D11" i="1"/>
  <c r="G39" i="1"/>
  <c r="H25" i="3"/>
  <c r="H26" i="3" s="1"/>
  <c r="C19" i="1" s="1"/>
  <c r="H64" i="1"/>
  <c r="H66" i="1"/>
  <c r="E59" i="1" l="1"/>
  <c r="E61" i="1" s="1"/>
  <c r="E62" i="1" s="1"/>
  <c r="E67" i="1" s="1"/>
  <c r="C59" i="1"/>
  <c r="C60" i="1" s="1"/>
  <c r="G59" i="1"/>
  <c r="G61" i="1"/>
  <c r="G62" i="1" s="1"/>
  <c r="G67" i="1" s="1"/>
  <c r="G60" i="1"/>
  <c r="D59" i="1"/>
  <c r="F59" i="1"/>
  <c r="D61" i="1"/>
  <c r="D62" i="1" s="1"/>
  <c r="D67" i="1" s="1"/>
  <c r="D60" i="1"/>
  <c r="E60" i="1"/>
  <c r="H59" i="1"/>
  <c r="F69" i="1"/>
  <c r="C61" i="1" l="1"/>
  <c r="C62" i="1" s="1"/>
  <c r="F60" i="1"/>
  <c r="F61" i="1"/>
  <c r="F62" i="1" s="1"/>
  <c r="F67" i="1" s="1"/>
  <c r="H61" i="1"/>
  <c r="H62" i="1"/>
  <c r="C67" i="1"/>
  <c r="H67" i="1" s="1"/>
</calcChain>
</file>

<file path=xl/sharedStrings.xml><?xml version="1.0" encoding="utf-8"?>
<sst xmlns="http://schemas.openxmlformats.org/spreadsheetml/2006/main" count="252" uniqueCount="75">
  <si>
    <t>IBM webMethods Hyb Int Software Sizing Calculator</t>
  </si>
  <si>
    <r>
      <t xml:space="preserve">NOTE: This sheet is </t>
    </r>
    <r>
      <rPr>
        <u/>
        <sz val="14"/>
        <color rgb="FFFF0000"/>
        <rFont val="Aptos Narrow (Body)"/>
      </rPr>
      <t>only</t>
    </r>
    <r>
      <rPr>
        <sz val="14"/>
        <color rgb="FFFF0000"/>
        <rFont val="Aptos Narrow"/>
        <family val="2"/>
        <scheme val="minor"/>
      </rPr>
      <t xml:space="preserve"> for use with
 IBM webMethods Hybrid Integration </t>
    </r>
    <r>
      <rPr>
        <u/>
        <sz val="14"/>
        <color rgb="FFFF0000"/>
        <rFont val="Aptos Narrow (Body)"/>
      </rPr>
      <t>Software</t>
    </r>
    <r>
      <rPr>
        <sz val="14"/>
        <color rgb="FFFF0000"/>
        <rFont val="Aptos Narrow"/>
        <family val="2"/>
        <scheme val="minor"/>
      </rPr>
      <t xml:space="preserve">
Part D11F7ZX</t>
    </r>
  </si>
  <si>
    <t>Use this sheet to determine how many RUs are needed for a given configuration</t>
  </si>
  <si>
    <t>Instructions: enter values in the blue shaded cells</t>
  </si>
  <si>
    <t>Integration</t>
  </si>
  <si>
    <t>Year 1</t>
  </si>
  <si>
    <t>Year 2</t>
  </si>
  <si>
    <t>Year 3</t>
  </si>
  <si>
    <t>Year 4</t>
  </si>
  <si>
    <t>Year 5</t>
  </si>
  <si>
    <t>Integration Transactions</t>
  </si>
  <si>
    <t>Production tx/year</t>
  </si>
  <si>
    <t>Production tx/month</t>
  </si>
  <si>
    <t>Non-production tx/year</t>
  </si>
  <si>
    <t>Non-production tx/month</t>
  </si>
  <si>
    <t>RUs</t>
  </si>
  <si>
    <t>API Management</t>
  </si>
  <si>
    <t>API Calls</t>
  </si>
  <si>
    <t>B2B</t>
  </si>
  <si>
    <t>B2B Transactions</t>
  </si>
  <si>
    <t>MFT</t>
  </si>
  <si>
    <t>MFT Transactions</t>
  </si>
  <si>
    <t>GraphQL</t>
  </si>
  <si>
    <t>GraphQL Transactions</t>
  </si>
  <si>
    <t>Event Automation</t>
  </si>
  <si>
    <t>Events (Endpoint Mgmt)</t>
  </si>
  <si>
    <t>TOTALS</t>
  </si>
  <si>
    <t>TOTAL</t>
  </si>
  <si>
    <t>Qty to enter in CPQ
(monthly)</t>
  </si>
  <si>
    <t>Deal discount</t>
  </si>
  <si>
    <t>List price</t>
  </si>
  <si>
    <t>Discounted price</t>
  </si>
  <si>
    <t>Include Advanced Suppport</t>
  </si>
  <si>
    <t>No</t>
  </si>
  <si>
    <t>Advanced Support Price</t>
  </si>
  <si>
    <t>Discount on Adv Support</t>
  </si>
  <si>
    <t>Discounted Adv Support Price</t>
  </si>
  <si>
    <t>Total Price</t>
  </si>
  <si>
    <t>Note prices shown here are US prices. Regional prices will vary. Use SQO/CPQ/IBM Quoting as definitive source for prices in your region</t>
  </si>
  <si>
    <t>A B2B Transaction is the exchange of any electronic document (e.g., purchase order, purchase order acknowledgment, invoice, ASN) with another entity in any EDI or non-EDI standard format (e.g., EDI, XML, csv). A single document sent or received by the platform is counted as a B2B Transaction. For batch transactions, each single transaction contained within the batch is counted as a B2B Transaction. A document more than 5 kilobytes will be counted as an additional B2B Transaction for each additional 5 kilobytes rounded up to the nearest increment.</t>
  </si>
  <si>
    <t>For example, a document of 13 kilobytes would count as 3 B2B Transactions.</t>
  </si>
  <si>
    <t>A Managed File Transfer (MFT) Transaction is an initiation of an inbound file transfer or an initiation of an outbound file transfer. A file more than 5 megabytes will be counted as an additional MFT Transaction for each additional 5 megabytes rounded up to the nearest increment.</t>
  </si>
  <si>
    <t>For example, a file of 13 megabytes would count as 3 MFT Transactions.</t>
  </si>
  <si>
    <t xml:space="preserve">An Integration Transaction is an execution of a top-level service, flow or workflow that is triggered manually, or by an external event or request, or by a scheduled timer. A service, flow or workflow that takes more than 60 seconds to complete is counted as an additional Integration Transaction for each additional 60 seconds (or part thereof). </t>
  </si>
  <si>
    <t xml:space="preserve">For example, a workflow which takes 190 seconds to complete would count as 4 Integration Transactions. </t>
  </si>
  <si>
    <t xml:space="preserve">An API Call is an inbound API call to an API Gateway or microgateway component.  </t>
  </si>
  <si>
    <t>Events</t>
  </si>
  <si>
    <t>An Event is a message published or received through an Event Gateway. A Message exceeding 200 kilobytes will be counted as an additional Event for each additional 200 kilobytes rounded up to the nearest increment.</t>
  </si>
  <si>
    <t xml:space="preserve">A GraphQL API Call is an API call to the GraphQL Endpoint.  A single API Call to an IBM API Connect for GraphQL Endpoint will consume 1 GraphQL API Call as long as the GraphQL API is not invoking another service hosted by API Connect for GraphQL. A single API Call to an API Connect for GraphQL Endpoint that is federated across 3 subgraphs hosted by API Connect for GraphQL would consume 4 GraphQL API Calls assuming the subgraphs GraphQL APIs are not invoking another service hosted by API Connect for GraphQL in your account. An Endpoint is a physical device that connects to and exchanges information with API Connect for GraphQL.  </t>
  </si>
  <si>
    <t xml:space="preserve">Dev, Test Use </t>
  </si>
  <si>
    <t>Use of the Program and Components when used for Development and Functional Test purposes: Under Development and Functional Test use, the Program or components can only be deployed as part of Licensee's internal development, unit, and functional testing environments. In functional test environments the developer can integrate their code with that of others on shared use machines, and that code can be tested in a test harness. Functional testing is limited to ensuring that the Program can be used to connect to local or remote endpoints, and that a sample of data sent between those endpoints is processed correctly. Licensee is not authorized to use the Program or components for system test, meaning integrated code is tested as a product, processing production workloads, simulating production workloads or testing the scalability of any code, application or system. If Licensee’s use is limited to Development and Functional Test purposes, such use is not used to determine the number of entitlements required for the Program and components.</t>
  </si>
  <si>
    <t>Non-Production Use</t>
  </si>
  <si>
    <t>"Non-Production" means that the Bundled Program can only be deployed as part of Licensee's internal test environment for internal non-production activities.</t>
  </si>
  <si>
    <t>Master data</t>
  </si>
  <si>
    <t>Calculator</t>
  </si>
  <si>
    <t>Price per RU</t>
  </si>
  <si>
    <t>RUs/mth</t>
  </si>
  <si>
    <t>Qty</t>
  </si>
  <si>
    <t>From</t>
  </si>
  <si>
    <t>To</t>
  </si>
  <si>
    <t>Per</t>
  </si>
  <si>
    <t>Transactions</t>
  </si>
  <si>
    <t>Integration Non-prod</t>
  </si>
  <si>
    <t>API Management - Non-prod</t>
  </si>
  <si>
    <t>B2B - Non-Prod</t>
  </si>
  <si>
    <t>MFT-non-prod</t>
  </si>
  <si>
    <t>GraphQL non-prod</t>
  </si>
  <si>
    <t>VPC/month</t>
  </si>
  <si>
    <t>FASP Transactions</t>
  </si>
  <si>
    <t>FASP</t>
  </si>
  <si>
    <t>A FASP Transaction is an initiation of an inbound file transfer or an initiation of an outbound file transfer. A file more than 5 gigabytes will be counted as an additional FASP Transaction for each additional 5 gigabytes rounded up to the nearest increment.</t>
  </si>
  <si>
    <t>For example, a file of 13 gigabytes would count as 3 FASP Transactions.</t>
  </si>
  <si>
    <t>Event streams Prod</t>
  </si>
  <si>
    <t>Event processing Prod</t>
  </si>
  <si>
    <t>v13 30-June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</si>
</sst>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quot;€&quot;\ * #,##0.00_ ;_ &quot;€&quot;\ * \-#,##0.00_ ;_ &quot;€&quot;\ * &quot;-&quot;??_ ;_ @_ "/>
    <numFmt numFmtId="165" formatCode="_ * #,##0.00_ ;_ * \-#,##0.00_ ;_ * &quot;-&quot;??_ ;_ @_ "/>
    <numFmt numFmtId="166" formatCode="_ * #,##0_ ;_ * \-#,##0_ ;_ * &quot;-&quot;??_ ;_ @_ "/>
    <numFmt numFmtId="167" formatCode="_-[$$-409]* #,##0.00_ ;_-[$$-409]* \-#,##0.00\ ;_-[$$-409]* &quot;-&quot;??_ ;_-@_ "/>
    <numFmt numFmtId="168" formatCode="_-[$$-409]* #,##0_ ;_-[$$-409]* \-#,##0\ ;_-[$$-409]* &quot;-&quot;??_ ;_-@_ "/>
  </numFmts>
  <fonts count="17" x14ac:knownFonts="1">
    <font>
      <sz val="12"/>
      <color theme="1"/>
      <name val="Aptos Narrow"/>
      <family val="2"/>
      <scheme val="minor"/>
    </font>
    <font>
      <sz val="12"/>
      <color theme="1"/>
      <name val="Aptos Narrow"/>
      <family val="2"/>
      <scheme val="minor"/>
    </font>
    <font>
      <sz val="14"/>
      <color theme="1"/>
      <name val="Aptos Narrow"/>
      <family val="2"/>
      <scheme val="minor"/>
    </font>
    <font>
      <sz val="20"/>
      <color theme="1"/>
      <name val="Aptos Narrow"/>
      <family val="2"/>
      <scheme val="minor"/>
    </font>
    <font>
      <b/>
      <sz val="12"/>
      <color theme="1"/>
      <name val="Aptos Narrow"/>
      <scheme val="minor"/>
    </font>
    <font>
      <b/>
      <sz val="12"/>
      <color theme="0"/>
      <name val="Aptos Narrow"/>
      <scheme val="minor"/>
    </font>
    <font>
      <sz val="8"/>
      <name val="Aptos Narrow"/>
      <family val="2"/>
      <scheme val="minor"/>
    </font>
    <font>
      <b/>
      <sz val="16"/>
      <color theme="0"/>
      <name val="Aptos Narrow"/>
      <scheme val="minor"/>
    </font>
    <font>
      <sz val="16"/>
      <color theme="0"/>
      <name val="Aptos Narrow"/>
      <family val="2"/>
      <scheme val="minor"/>
    </font>
    <font>
      <i/>
      <sz val="12"/>
      <color theme="1"/>
      <name val="Aptos Narrow"/>
      <scheme val="minor"/>
    </font>
    <font>
      <sz val="14"/>
      <color rgb="FFFF0000"/>
      <name val="Aptos Narrow"/>
      <family val="2"/>
      <scheme val="minor"/>
    </font>
    <font>
      <u/>
      <sz val="14"/>
      <color rgb="FFFF0000"/>
      <name val="Aptos Narrow (Body)"/>
    </font>
    <font>
      <b/>
      <sz val="16"/>
      <color theme="1"/>
      <name val="Aptos Narrow"/>
      <scheme val="minor"/>
    </font>
    <font>
      <sz val="12"/>
      <color rgb="FFFF0000"/>
      <name val="Aptos Narrow"/>
      <family val="2"/>
      <scheme val="minor"/>
    </font>
    <font>
      <sz val="16"/>
      <color rgb="FF000000"/>
      <name val="IBM Plex Sans"/>
      <family val="2"/>
    </font>
    <font>
      <sz val="16"/>
      <color theme="1"/>
      <name val="Aptos Narrow"/>
      <scheme val="minor"/>
    </font>
    <font>
      <sz val="12"/>
      <color theme="1"/>
      <name val="Aptos Narrow"/>
      <scheme val="minor"/>
    </font>
  </fonts>
  <fills count="16">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bgColor indexed="64"/>
      </patternFill>
    </fill>
    <fill>
      <patternFill patternType="solid">
        <fgColor theme="9"/>
        <bgColor indexed="64"/>
      </patternFill>
    </fill>
    <fill>
      <patternFill patternType="solid">
        <fgColor theme="8" tint="0.79998168889431442"/>
        <bgColor indexed="64"/>
      </patternFill>
    </fill>
    <fill>
      <patternFill patternType="solid">
        <fgColor theme="8"/>
        <bgColor indexed="64"/>
      </patternFill>
    </fill>
    <fill>
      <patternFill patternType="solid">
        <fgColor theme="5" tint="0.79998168889431442"/>
        <bgColor indexed="64"/>
      </patternFill>
    </fill>
    <fill>
      <patternFill patternType="solid">
        <fgColor theme="5"/>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4"/>
        <bgColor indexed="64"/>
      </patternFill>
    </fill>
    <fill>
      <patternFill patternType="solid">
        <fgColor theme="4" tint="0.79998168889431442"/>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0" fontId="0" fillId="3" borderId="0" xfId="0" applyFill="1"/>
    <xf numFmtId="168" fontId="0" fillId="3" borderId="0" xfId="2" applyNumberFormat="1" applyFont="1" applyFill="1"/>
    <xf numFmtId="166" fontId="0" fillId="0" borderId="0" xfId="1" applyNumberFormat="1" applyFont="1"/>
    <xf numFmtId="0" fontId="5" fillId="5" borderId="0" xfId="0" applyFont="1" applyFill="1"/>
    <xf numFmtId="0" fontId="0" fillId="4" borderId="0" xfId="0" applyFill="1"/>
    <xf numFmtId="166" fontId="0" fillId="4" borderId="0" xfId="1" applyNumberFormat="1" applyFont="1" applyFill="1"/>
    <xf numFmtId="166" fontId="0" fillId="3" borderId="0" xfId="1" applyNumberFormat="1" applyFont="1" applyFill="1"/>
    <xf numFmtId="0" fontId="5" fillId="6" borderId="0" xfId="0" applyFont="1" applyFill="1"/>
    <xf numFmtId="0" fontId="0" fillId="7" borderId="0" xfId="0" applyFill="1"/>
    <xf numFmtId="166" fontId="0" fillId="7" borderId="0" xfId="1" applyNumberFormat="1" applyFont="1" applyFill="1"/>
    <xf numFmtId="0" fontId="5" fillId="8" borderId="0" xfId="0" applyFont="1" applyFill="1"/>
    <xf numFmtId="0" fontId="0" fillId="9" borderId="0" xfId="0" applyFill="1"/>
    <xf numFmtId="166" fontId="0" fillId="9" borderId="0" xfId="1" applyNumberFormat="1" applyFont="1" applyFill="1"/>
    <xf numFmtId="0" fontId="5" fillId="10" borderId="0" xfId="0" applyFont="1" applyFill="1"/>
    <xf numFmtId="167" fontId="4" fillId="0" borderId="0" xfId="2" applyNumberFormat="1" applyFont="1"/>
    <xf numFmtId="166" fontId="0" fillId="0" borderId="0" xfId="0" applyNumberFormat="1"/>
    <xf numFmtId="0" fontId="7" fillId="5" borderId="0" xfId="0" applyFont="1" applyFill="1"/>
    <xf numFmtId="0" fontId="7" fillId="6" borderId="0" xfId="0" applyFont="1" applyFill="1"/>
    <xf numFmtId="0" fontId="7" fillId="8" borderId="0" xfId="0" applyFont="1" applyFill="1"/>
    <xf numFmtId="0" fontId="7" fillId="10" borderId="0" xfId="0" applyFont="1" applyFill="1"/>
    <xf numFmtId="0" fontId="8" fillId="11" borderId="0" xfId="0" applyFont="1" applyFill="1"/>
    <xf numFmtId="0" fontId="4" fillId="0" borderId="0" xfId="0" applyFont="1" applyAlignment="1">
      <alignment horizontal="right"/>
    </xf>
    <xf numFmtId="0" fontId="5" fillId="11" borderId="0" xfId="0" applyFont="1" applyFill="1"/>
    <xf numFmtId="168" fontId="4" fillId="3" borderId="0" xfId="2" applyNumberFormat="1" applyFont="1" applyFill="1"/>
    <xf numFmtId="166" fontId="0" fillId="2" borderId="0" xfId="1" applyNumberFormat="1" applyFont="1" applyFill="1" applyProtection="1">
      <protection locked="0"/>
    </xf>
    <xf numFmtId="9" fontId="0" fillId="2" borderId="0" xfId="0" applyNumberFormat="1" applyFill="1" applyAlignment="1" applyProtection="1">
      <alignment horizontal="left"/>
      <protection locked="0"/>
    </xf>
    <xf numFmtId="0" fontId="9" fillId="0" borderId="0" xfId="0" applyFont="1"/>
    <xf numFmtId="0" fontId="4" fillId="12" borderId="0" xfId="0" applyFont="1" applyFill="1"/>
    <xf numFmtId="168" fontId="4" fillId="12" borderId="0" xfId="2" applyNumberFormat="1" applyFont="1" applyFill="1"/>
    <xf numFmtId="0" fontId="7" fillId="14" borderId="0" xfId="0" applyFont="1" applyFill="1"/>
    <xf numFmtId="0" fontId="0" fillId="15" borderId="0" xfId="0" applyFill="1"/>
    <xf numFmtId="166" fontId="0" fillId="15" borderId="0" xfId="1" applyNumberFormat="1" applyFont="1" applyFill="1"/>
    <xf numFmtId="0" fontId="5" fillId="14" borderId="0" xfId="0" applyFont="1" applyFill="1"/>
    <xf numFmtId="166" fontId="0" fillId="3" borderId="0" xfId="0" applyNumberFormat="1" applyFill="1"/>
    <xf numFmtId="166" fontId="0" fillId="0" borderId="0" xfId="1" applyNumberFormat="1" applyFont="1" applyFill="1" applyProtection="1"/>
    <xf numFmtId="0" fontId="4" fillId="13" borderId="9" xfId="0" applyFont="1" applyFill="1" applyBorder="1" applyAlignment="1">
      <alignment wrapText="1"/>
    </xf>
    <xf numFmtId="166" fontId="12" fillId="13" borderId="10" xfId="0" applyNumberFormat="1" applyFont="1" applyFill="1" applyBorder="1" applyAlignment="1">
      <alignment vertical="center"/>
    </xf>
    <xf numFmtId="0" fontId="12" fillId="0" borderId="0" xfId="0" applyFont="1"/>
    <xf numFmtId="0" fontId="12" fillId="0" borderId="0" xfId="0" applyFont="1" applyAlignment="1">
      <alignment vertical="center" wrapText="1"/>
    </xf>
    <xf numFmtId="0" fontId="15" fillId="0" borderId="0" xfId="0" applyFont="1" applyAlignment="1">
      <alignment vertical="center" wrapText="1"/>
    </xf>
    <xf numFmtId="0" fontId="14" fillId="0" borderId="0" xfId="0" applyFont="1" applyAlignment="1">
      <alignment vertical="center" wrapText="1"/>
    </xf>
    <xf numFmtId="9" fontId="0" fillId="0" borderId="0" xfId="0" applyNumberFormat="1" applyAlignment="1" applyProtection="1">
      <alignment horizontal="left"/>
      <protection locked="0"/>
    </xf>
    <xf numFmtId="168" fontId="4" fillId="0" borderId="0" xfId="2" applyNumberFormat="1" applyFont="1" applyFill="1"/>
    <xf numFmtId="9" fontId="0" fillId="2" borderId="0" xfId="0" applyNumberFormat="1" applyFill="1" applyAlignment="1" applyProtection="1">
      <alignment horizontal="left" vertical="center"/>
      <protection locked="0"/>
    </xf>
    <xf numFmtId="0" fontId="0" fillId="0" borderId="0" xfId="0" applyAlignment="1">
      <alignment horizontal="left" vertical="center" wrapText="1"/>
    </xf>
    <xf numFmtId="168" fontId="16" fillId="3" borderId="0" xfId="2" applyNumberFormat="1" applyFont="1" applyFill="1" applyAlignment="1">
      <alignment vertical="center"/>
    </xf>
    <xf numFmtId="168" fontId="4" fillId="12" borderId="0" xfId="2" applyNumberFormat="1" applyFont="1" applyFill="1" applyAlignment="1">
      <alignment vertical="center"/>
    </xf>
    <xf numFmtId="0" fontId="0" fillId="0" borderId="0" xfId="0" applyAlignment="1">
      <alignment wrapText="1"/>
    </xf>
    <xf numFmtId="168" fontId="4" fillId="3" borderId="0" xfId="2" applyNumberFormat="1" applyFont="1" applyFill="1" applyAlignment="1">
      <alignment vertical="center"/>
    </xf>
    <xf numFmtId="0" fontId="10" fillId="13" borderId="1" xfId="0" applyFont="1" applyFill="1" applyBorder="1" applyAlignment="1">
      <alignment horizontal="center" wrapText="1"/>
    </xf>
    <xf numFmtId="0" fontId="10" fillId="13" borderId="2" xfId="0" applyFont="1" applyFill="1" applyBorder="1" applyAlignment="1">
      <alignment horizontal="center"/>
    </xf>
    <xf numFmtId="0" fontId="10" fillId="13" borderId="3" xfId="0" applyFont="1" applyFill="1" applyBorder="1" applyAlignment="1">
      <alignment horizontal="center"/>
    </xf>
    <xf numFmtId="0" fontId="10" fillId="13" borderId="4" xfId="0" applyFont="1" applyFill="1" applyBorder="1" applyAlignment="1">
      <alignment horizontal="center"/>
    </xf>
    <xf numFmtId="0" fontId="10" fillId="13" borderId="0" xfId="0" applyFont="1" applyFill="1" applyAlignment="1">
      <alignment horizontal="center"/>
    </xf>
    <xf numFmtId="0" fontId="10" fillId="13" borderId="5" xfId="0" applyFont="1" applyFill="1" applyBorder="1" applyAlignment="1">
      <alignment horizontal="center"/>
    </xf>
    <xf numFmtId="0" fontId="10" fillId="13" borderId="6" xfId="0" applyFont="1" applyFill="1" applyBorder="1" applyAlignment="1">
      <alignment horizontal="center"/>
    </xf>
    <xf numFmtId="0" fontId="10" fillId="13" borderId="7" xfId="0" applyFont="1" applyFill="1" applyBorder="1" applyAlignment="1">
      <alignment horizontal="center"/>
    </xf>
    <xf numFmtId="0" fontId="10" fillId="13" borderId="8" xfId="0" applyFont="1" applyFill="1" applyBorder="1" applyAlignment="1">
      <alignment horizontal="center"/>
    </xf>
    <xf numFmtId="0" fontId="0" fillId="13" borderId="11" xfId="0" applyFill="1" applyBorder="1" applyAlignment="1">
      <alignment horizontal="center" vertical="center" wrapText="1"/>
    </xf>
    <xf numFmtId="0" fontId="0" fillId="13" borderId="12" xfId="0" applyFill="1" applyBorder="1" applyAlignment="1">
      <alignment horizontal="center" vertical="center" wrapText="1"/>
    </xf>
    <xf numFmtId="0" fontId="0" fillId="13" borderId="13" xfId="0" applyFill="1" applyBorder="1" applyAlignment="1">
      <alignment horizontal="center" vertical="center" wrapText="1"/>
    </xf>
    <xf numFmtId="0" fontId="0" fillId="13" borderId="14" xfId="0" applyFill="1" applyBorder="1" applyAlignment="1">
      <alignment horizontal="center" vertical="center" wrapText="1"/>
    </xf>
    <xf numFmtId="0" fontId="0" fillId="13" borderId="0" xfId="0" applyFill="1" applyAlignment="1">
      <alignment horizontal="center" vertical="center" wrapText="1"/>
    </xf>
    <xf numFmtId="0" fontId="0" fillId="13" borderId="15" xfId="0" applyFill="1" applyBorder="1" applyAlignment="1">
      <alignment horizontal="center" vertical="center" wrapText="1"/>
    </xf>
    <xf numFmtId="0" fontId="0" fillId="13" borderId="16" xfId="0" applyFill="1" applyBorder="1" applyAlignment="1">
      <alignment horizontal="center" vertical="center" wrapText="1"/>
    </xf>
    <xf numFmtId="0" fontId="0" fillId="13" borderId="17" xfId="0" applyFill="1" applyBorder="1" applyAlignment="1">
      <alignment horizontal="center" vertical="center" wrapText="1"/>
    </xf>
    <xf numFmtId="0" fontId="0" fillId="13" borderId="18" xfId="0" applyFill="1" applyBorder="1" applyAlignment="1">
      <alignment horizontal="center" vertical="center" wrapText="1"/>
    </xf>
    <xf numFmtId="0" fontId="13" fillId="0" borderId="11" xfId="0" applyFont="1" applyBorder="1" applyAlignment="1">
      <alignment horizontal="center" vertical="center"/>
    </xf>
    <xf numFmtId="0" fontId="13" fillId="0" borderId="13" xfId="0" applyFont="1" applyBorder="1" applyAlignment="1">
      <alignment horizontal="center" vertical="center"/>
    </xf>
    <xf numFmtId="0" fontId="13" fillId="0" borderId="16" xfId="0" applyFont="1" applyBorder="1" applyAlignment="1">
      <alignment horizontal="center" vertical="center"/>
    </xf>
    <xf numFmtId="0" fontId="13" fillId="0" borderId="18" xfId="0" applyFont="1" applyBorder="1" applyAlignment="1">
      <alignment horizontal="center" vertical="center"/>
    </xf>
  </cellXfs>
  <cellStyles count="3">
    <cellStyle name="Comma" xfId="1" builtinId="3"/>
    <cellStyle name="Currency" xfId="2" builtinId="4"/>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2E6EA-7934-114A-8794-5B3EE029973F}">
  <sheetPr codeName="Sheet1"/>
  <dimension ref="A1:I71"/>
  <sheetViews>
    <sheetView tabSelected="1" topLeftCell="A30" zoomScaleNormal="100" workbookViewId="0">
      <selection activeCell="A55" sqref="A55:XFD56"/>
    </sheetView>
  </sheetViews>
  <sheetFormatPr baseColWidth="10" defaultColWidth="11" defaultRowHeight="16" x14ac:dyDescent="0.2"/>
  <cols>
    <col min="1" max="1" width="24.6640625" customWidth="1"/>
    <col min="2" max="2" width="24.5" customWidth="1"/>
    <col min="3" max="7" width="16" customWidth="1"/>
    <col min="8" max="8" width="14.83203125" customWidth="1"/>
    <col min="9" max="9" width="7.6640625" customWidth="1"/>
  </cols>
  <sheetData>
    <row r="1" spans="1:9" ht="27" x14ac:dyDescent="0.35">
      <c r="A1" s="2" t="s">
        <v>0</v>
      </c>
      <c r="E1" s="52" t="s">
        <v>1</v>
      </c>
      <c r="F1" s="53"/>
      <c r="G1" s="53"/>
      <c r="H1" s="53"/>
      <c r="I1" s="54"/>
    </row>
    <row r="2" spans="1:9" x14ac:dyDescent="0.2">
      <c r="A2" t="s">
        <v>2</v>
      </c>
      <c r="E2" s="55"/>
      <c r="F2" s="56"/>
      <c r="G2" s="56"/>
      <c r="H2" s="56"/>
      <c r="I2" s="57"/>
    </row>
    <row r="3" spans="1:9" x14ac:dyDescent="0.2">
      <c r="A3" t="s">
        <v>3</v>
      </c>
      <c r="E3" s="58"/>
      <c r="F3" s="59"/>
      <c r="G3" s="59"/>
      <c r="H3" s="59"/>
      <c r="I3" s="60"/>
    </row>
    <row r="5" spans="1:9" ht="22" x14ac:dyDescent="0.3">
      <c r="A5" s="19" t="s">
        <v>4</v>
      </c>
      <c r="B5" s="19"/>
      <c r="C5" s="19"/>
      <c r="D5" s="19"/>
      <c r="E5" s="19"/>
      <c r="F5" s="19"/>
      <c r="G5" s="19"/>
    </row>
    <row r="6" spans="1:9" x14ac:dyDescent="0.2">
      <c r="C6" s="24" t="s">
        <v>5</v>
      </c>
      <c r="D6" s="24" t="s">
        <v>6</v>
      </c>
      <c r="E6" s="24" t="s">
        <v>7</v>
      </c>
      <c r="F6" s="24" t="s">
        <v>8</v>
      </c>
      <c r="G6" s="24" t="s">
        <v>9</v>
      </c>
    </row>
    <row r="7" spans="1:9" x14ac:dyDescent="0.2">
      <c r="A7" t="s">
        <v>10</v>
      </c>
      <c r="B7" t="s">
        <v>11</v>
      </c>
      <c r="C7" s="27"/>
      <c r="D7" s="27"/>
      <c r="E7" s="27"/>
      <c r="F7" s="27"/>
      <c r="G7" s="27"/>
    </row>
    <row r="8" spans="1:9" x14ac:dyDescent="0.2">
      <c r="B8" t="s">
        <v>12</v>
      </c>
      <c r="C8" s="37">
        <f>ROUND(C7/12,0)</f>
        <v>0</v>
      </c>
      <c r="D8" s="37">
        <f t="shared" ref="D8:G8" si="0">ROUND(D7/12,0)</f>
        <v>0</v>
      </c>
      <c r="E8" s="37">
        <f t="shared" si="0"/>
        <v>0</v>
      </c>
      <c r="F8" s="37">
        <f t="shared" si="0"/>
        <v>0</v>
      </c>
      <c r="G8" s="37">
        <f t="shared" si="0"/>
        <v>0</v>
      </c>
    </row>
    <row r="9" spans="1:9" x14ac:dyDescent="0.2">
      <c r="B9" t="s">
        <v>13</v>
      </c>
      <c r="C9" s="27">
        <f>C7/10</f>
        <v>0</v>
      </c>
      <c r="D9" s="27"/>
      <c r="E9" s="27"/>
      <c r="F9" s="27"/>
      <c r="G9" s="27"/>
    </row>
    <row r="10" spans="1:9" x14ac:dyDescent="0.2">
      <c r="B10" t="s">
        <v>14</v>
      </c>
      <c r="C10" s="37">
        <f>ROUND(C9/12,0)</f>
        <v>0</v>
      </c>
      <c r="D10" s="37">
        <f t="shared" ref="D10:G10" si="1">ROUND(D9/12,0)</f>
        <v>0</v>
      </c>
      <c r="E10" s="37">
        <f t="shared" si="1"/>
        <v>0</v>
      </c>
      <c r="F10" s="37">
        <f t="shared" si="1"/>
        <v>0</v>
      </c>
      <c r="G10" s="37">
        <f t="shared" si="1"/>
        <v>0</v>
      </c>
    </row>
    <row r="11" spans="1:9" x14ac:dyDescent="0.2">
      <c r="A11" t="s">
        <v>15</v>
      </c>
      <c r="C11" s="3">
        <f>'Master data'!H5+'Master data'!H10</f>
        <v>0</v>
      </c>
      <c r="D11" s="3">
        <f>'Master data'!I5+'Master data'!I10</f>
        <v>0</v>
      </c>
      <c r="E11" s="3">
        <f>'Master data'!J5+'Master data'!J10</f>
        <v>0</v>
      </c>
      <c r="F11" s="3">
        <f>'Master data'!K5+'Master data'!K10</f>
        <v>0</v>
      </c>
      <c r="G11" s="3">
        <f>'Master data'!L5+'Master data'!L10</f>
        <v>0</v>
      </c>
    </row>
    <row r="13" spans="1:9" ht="22" x14ac:dyDescent="0.3">
      <c r="A13" s="20" t="s">
        <v>16</v>
      </c>
      <c r="B13" s="20"/>
      <c r="C13" s="20"/>
      <c r="D13" s="20"/>
      <c r="E13" s="20"/>
      <c r="F13" s="20"/>
      <c r="G13" s="20"/>
    </row>
    <row r="14" spans="1:9" x14ac:dyDescent="0.2">
      <c r="C14" s="24" t="s">
        <v>5</v>
      </c>
      <c r="D14" s="24" t="s">
        <v>6</v>
      </c>
      <c r="E14" s="24" t="s">
        <v>7</v>
      </c>
      <c r="F14" s="24" t="s">
        <v>8</v>
      </c>
      <c r="G14" s="24" t="s">
        <v>9</v>
      </c>
    </row>
    <row r="15" spans="1:9" x14ac:dyDescent="0.2">
      <c r="A15" t="s">
        <v>17</v>
      </c>
      <c r="B15" t="s">
        <v>11</v>
      </c>
      <c r="C15" s="27"/>
      <c r="D15" s="27"/>
      <c r="E15" s="27"/>
      <c r="F15" s="27"/>
      <c r="G15" s="27"/>
    </row>
    <row r="16" spans="1:9" x14ac:dyDescent="0.2">
      <c r="B16" t="s">
        <v>12</v>
      </c>
      <c r="C16" s="37">
        <f>ROUND(C15/12,0)</f>
        <v>0</v>
      </c>
      <c r="D16" s="37">
        <f t="shared" ref="D16:D18" si="2">ROUND(D15/12,0)</f>
        <v>0</v>
      </c>
      <c r="E16" s="37">
        <f t="shared" ref="E16:E18" si="3">ROUND(E15/12,0)</f>
        <v>0</v>
      </c>
      <c r="F16" s="37">
        <f t="shared" ref="F16:F18" si="4">ROUND(F15/12,0)</f>
        <v>0</v>
      </c>
      <c r="G16" s="37">
        <f t="shared" ref="G16:G18" si="5">ROUND(G15/12,0)</f>
        <v>0</v>
      </c>
    </row>
    <row r="17" spans="1:7" x14ac:dyDescent="0.2">
      <c r="B17" t="s">
        <v>13</v>
      </c>
      <c r="C17" s="27">
        <f>C15/10</f>
        <v>0</v>
      </c>
      <c r="D17" s="27"/>
      <c r="E17" s="27"/>
      <c r="F17" s="27"/>
      <c r="G17" s="27"/>
    </row>
    <row r="18" spans="1:7" x14ac:dyDescent="0.2">
      <c r="B18" t="s">
        <v>14</v>
      </c>
      <c r="C18" s="37">
        <f>ROUND(C17/12,0)</f>
        <v>0</v>
      </c>
      <c r="D18" s="37">
        <f t="shared" si="2"/>
        <v>0</v>
      </c>
      <c r="E18" s="37">
        <f t="shared" si="3"/>
        <v>0</v>
      </c>
      <c r="F18" s="37">
        <f t="shared" si="4"/>
        <v>0</v>
      </c>
      <c r="G18" s="37">
        <f t="shared" si="5"/>
        <v>0</v>
      </c>
    </row>
    <row r="19" spans="1:7" x14ac:dyDescent="0.2">
      <c r="A19" t="s">
        <v>15</v>
      </c>
      <c r="C19" s="3">
        <f>'Master data'!H21+'Master data'!H26</f>
        <v>0</v>
      </c>
      <c r="D19" s="3">
        <f>'Master data'!I21+'Master data'!I26</f>
        <v>0</v>
      </c>
      <c r="E19" s="3">
        <f>'Master data'!J21+'Master data'!J26</f>
        <v>0</v>
      </c>
      <c r="F19" s="3">
        <f>'Master data'!K21+'Master data'!K26</f>
        <v>0</v>
      </c>
      <c r="G19" s="3">
        <f>'Master data'!L21+'Master data'!L26</f>
        <v>0</v>
      </c>
    </row>
    <row r="21" spans="1:7" ht="22" x14ac:dyDescent="0.3">
      <c r="A21" s="21" t="s">
        <v>18</v>
      </c>
      <c r="B21" s="21"/>
      <c r="C21" s="21"/>
      <c r="D21" s="21"/>
      <c r="E21" s="21"/>
      <c r="F21" s="21"/>
      <c r="G21" s="21"/>
    </row>
    <row r="22" spans="1:7" x14ac:dyDescent="0.2">
      <c r="C22" s="24" t="s">
        <v>5</v>
      </c>
      <c r="D22" s="24" t="s">
        <v>6</v>
      </c>
      <c r="E22" s="24" t="s">
        <v>7</v>
      </c>
      <c r="F22" s="24" t="s">
        <v>8</v>
      </c>
      <c r="G22" s="24" t="s">
        <v>9</v>
      </c>
    </row>
    <row r="23" spans="1:7" x14ac:dyDescent="0.2">
      <c r="A23" t="s">
        <v>19</v>
      </c>
      <c r="B23" t="s">
        <v>11</v>
      </c>
      <c r="C23" s="27"/>
      <c r="D23" s="27"/>
      <c r="E23" s="27"/>
      <c r="F23" s="27"/>
      <c r="G23" s="27"/>
    </row>
    <row r="24" spans="1:7" x14ac:dyDescent="0.2">
      <c r="B24" t="s">
        <v>12</v>
      </c>
      <c r="C24" s="37">
        <f>ROUND(C23/12,0)</f>
        <v>0</v>
      </c>
      <c r="D24" s="37">
        <f t="shared" ref="D24:D26" si="6">ROUND(D23/12,0)</f>
        <v>0</v>
      </c>
      <c r="E24" s="37">
        <f t="shared" ref="E24:E26" si="7">ROUND(E23/12,0)</f>
        <v>0</v>
      </c>
      <c r="F24" s="37">
        <f t="shared" ref="F24:F26" si="8">ROUND(F23/12,0)</f>
        <v>0</v>
      </c>
      <c r="G24" s="37">
        <f t="shared" ref="G24:G26" si="9">ROUND(G23/12,0)</f>
        <v>0</v>
      </c>
    </row>
    <row r="25" spans="1:7" x14ac:dyDescent="0.2">
      <c r="B25" t="s">
        <v>13</v>
      </c>
      <c r="C25" s="27"/>
      <c r="D25" s="27"/>
      <c r="E25" s="27"/>
      <c r="F25" s="27"/>
      <c r="G25" s="27"/>
    </row>
    <row r="26" spans="1:7" x14ac:dyDescent="0.2">
      <c r="B26" t="s">
        <v>14</v>
      </c>
      <c r="C26" s="37">
        <f>ROUND(C25/12,0)</f>
        <v>0</v>
      </c>
      <c r="D26" s="37">
        <f t="shared" si="6"/>
        <v>0</v>
      </c>
      <c r="E26" s="37">
        <f t="shared" si="7"/>
        <v>0</v>
      </c>
      <c r="F26" s="37">
        <f t="shared" si="8"/>
        <v>0</v>
      </c>
      <c r="G26" s="37">
        <f t="shared" si="9"/>
        <v>0</v>
      </c>
    </row>
    <row r="27" spans="1:7" x14ac:dyDescent="0.2">
      <c r="A27" t="s">
        <v>15</v>
      </c>
      <c r="C27" s="3">
        <f>'Master data'!H37+'Master data'!H42</f>
        <v>0</v>
      </c>
      <c r="D27" s="3">
        <f>'Master data'!I37+'Master data'!I42</f>
        <v>0</v>
      </c>
      <c r="E27" s="3">
        <f>'Master data'!J37+'Master data'!J42</f>
        <v>0</v>
      </c>
      <c r="F27" s="3">
        <f>'Master data'!K37+'Master data'!K42</f>
        <v>0</v>
      </c>
      <c r="G27" s="3">
        <f>'Master data'!L37+'Master data'!L42</f>
        <v>0</v>
      </c>
    </row>
    <row r="29" spans="1:7" ht="22" x14ac:dyDescent="0.3">
      <c r="A29" s="22" t="s">
        <v>20</v>
      </c>
      <c r="B29" s="22"/>
      <c r="C29" s="22"/>
      <c r="D29" s="22"/>
      <c r="E29" s="22"/>
      <c r="F29" s="22"/>
      <c r="G29" s="22"/>
    </row>
    <row r="30" spans="1:7" x14ac:dyDescent="0.2">
      <c r="C30" s="24" t="s">
        <v>5</v>
      </c>
      <c r="D30" s="24" t="s">
        <v>6</v>
      </c>
      <c r="E30" s="24" t="s">
        <v>7</v>
      </c>
      <c r="F30" s="24" t="s">
        <v>8</v>
      </c>
      <c r="G30" s="24" t="s">
        <v>9</v>
      </c>
    </row>
    <row r="31" spans="1:7" x14ac:dyDescent="0.2">
      <c r="A31" t="s">
        <v>21</v>
      </c>
      <c r="B31" t="s">
        <v>11</v>
      </c>
      <c r="C31" s="27"/>
      <c r="D31" s="27"/>
      <c r="E31" s="27"/>
      <c r="F31" s="27"/>
      <c r="G31" s="27"/>
    </row>
    <row r="32" spans="1:7" x14ac:dyDescent="0.2">
      <c r="B32" t="s">
        <v>12</v>
      </c>
      <c r="C32" s="37">
        <f>ROUND(C31/12,0)</f>
        <v>0</v>
      </c>
      <c r="D32" s="37">
        <f t="shared" ref="D32:D38" si="10">ROUND(D31/12,0)</f>
        <v>0</v>
      </c>
      <c r="E32" s="37">
        <f t="shared" ref="E32:E38" si="11">ROUND(E31/12,0)</f>
        <v>0</v>
      </c>
      <c r="F32" s="37">
        <f t="shared" ref="F32:F38" si="12">ROUND(F31/12,0)</f>
        <v>0</v>
      </c>
      <c r="G32" s="37">
        <f t="shared" ref="G32:G38" si="13">ROUND(G31/12,0)</f>
        <v>0</v>
      </c>
    </row>
    <row r="33" spans="1:7" x14ac:dyDescent="0.2">
      <c r="B33" t="s">
        <v>13</v>
      </c>
      <c r="C33" s="27">
        <f>C31/10</f>
        <v>0</v>
      </c>
      <c r="D33" s="27"/>
      <c r="E33" s="27"/>
      <c r="F33" s="27"/>
      <c r="G33" s="27"/>
    </row>
    <row r="34" spans="1:7" x14ac:dyDescent="0.2">
      <c r="B34" t="s">
        <v>14</v>
      </c>
      <c r="C34" s="37">
        <f>ROUND(C33/12,0)</f>
        <v>0</v>
      </c>
      <c r="D34" s="37">
        <f t="shared" si="10"/>
        <v>0</v>
      </c>
      <c r="E34" s="37">
        <f t="shared" si="11"/>
        <v>0</v>
      </c>
      <c r="F34" s="37">
        <f t="shared" si="12"/>
        <v>0</v>
      </c>
      <c r="G34" s="37">
        <f t="shared" si="13"/>
        <v>0</v>
      </c>
    </row>
    <row r="35" spans="1:7" x14ac:dyDescent="0.2">
      <c r="A35" t="s">
        <v>68</v>
      </c>
      <c r="B35" t="s">
        <v>11</v>
      </c>
      <c r="C35" s="27"/>
      <c r="D35" s="27"/>
      <c r="E35" s="27"/>
      <c r="F35" s="27"/>
      <c r="G35" s="27"/>
    </row>
    <row r="36" spans="1:7" x14ac:dyDescent="0.2">
      <c r="B36" t="s">
        <v>12</v>
      </c>
      <c r="C36" s="37">
        <f>ROUND(C35/12,0)</f>
        <v>0</v>
      </c>
      <c r="D36" s="37">
        <f t="shared" si="10"/>
        <v>0</v>
      </c>
      <c r="E36" s="37">
        <f t="shared" si="11"/>
        <v>0</v>
      </c>
      <c r="F36" s="37">
        <f t="shared" si="12"/>
        <v>0</v>
      </c>
      <c r="G36" s="37">
        <f t="shared" si="13"/>
        <v>0</v>
      </c>
    </row>
    <row r="37" spans="1:7" x14ac:dyDescent="0.2">
      <c r="B37" t="s">
        <v>13</v>
      </c>
      <c r="C37" s="27">
        <f>C35/10</f>
        <v>0</v>
      </c>
      <c r="D37" s="27"/>
      <c r="E37" s="27"/>
      <c r="F37" s="27"/>
      <c r="G37" s="27"/>
    </row>
    <row r="38" spans="1:7" x14ac:dyDescent="0.2">
      <c r="B38" t="s">
        <v>14</v>
      </c>
      <c r="C38" s="37">
        <f>ROUND(C37/12,0)</f>
        <v>0</v>
      </c>
      <c r="D38" s="37">
        <f t="shared" si="10"/>
        <v>0</v>
      </c>
      <c r="E38" s="37">
        <f t="shared" si="11"/>
        <v>0</v>
      </c>
      <c r="F38" s="37">
        <f t="shared" si="12"/>
        <v>0</v>
      </c>
      <c r="G38" s="37">
        <f t="shared" si="13"/>
        <v>0</v>
      </c>
    </row>
    <row r="39" spans="1:7" x14ac:dyDescent="0.2">
      <c r="A39" t="s">
        <v>15</v>
      </c>
      <c r="C39" s="3">
        <f>'Master data'!H53+'Master data'!H58+'Master data'!H65+'Master data'!H70</f>
        <v>0</v>
      </c>
      <c r="D39" s="3">
        <f>'Master data'!I53+'Master data'!I58+'Master data'!I65+'Master data'!I70</f>
        <v>0</v>
      </c>
      <c r="E39" s="3">
        <f>'Master data'!J53+'Master data'!J58+'Master data'!J65+'Master data'!J70</f>
        <v>0</v>
      </c>
      <c r="F39" s="3">
        <f>'Master data'!K53+'Master data'!K58+'Master data'!K65+'Master data'!K70</f>
        <v>0</v>
      </c>
      <c r="G39" s="3">
        <f>'Master data'!L53+'Master data'!L58+'Master data'!L65+'Master data'!L70</f>
        <v>0</v>
      </c>
    </row>
    <row r="41" spans="1:7" ht="22" x14ac:dyDescent="0.3">
      <c r="A41" s="20" t="s">
        <v>22</v>
      </c>
      <c r="B41" s="20"/>
      <c r="C41" s="20"/>
      <c r="D41" s="20"/>
      <c r="E41" s="20"/>
      <c r="F41" s="20"/>
      <c r="G41" s="20"/>
    </row>
    <row r="42" spans="1:7" x14ac:dyDescent="0.2">
      <c r="C42" s="24" t="s">
        <v>5</v>
      </c>
      <c r="D42" s="24" t="s">
        <v>6</v>
      </c>
      <c r="E42" s="24" t="s">
        <v>7</v>
      </c>
      <c r="F42" s="24" t="s">
        <v>8</v>
      </c>
      <c r="G42" s="24" t="s">
        <v>9</v>
      </c>
    </row>
    <row r="43" spans="1:7" x14ac:dyDescent="0.2">
      <c r="A43" t="s">
        <v>23</v>
      </c>
      <c r="B43" t="s">
        <v>11</v>
      </c>
      <c r="C43" s="27"/>
      <c r="D43" s="27"/>
      <c r="E43" s="27"/>
      <c r="F43" s="27"/>
      <c r="G43" s="27"/>
    </row>
    <row r="44" spans="1:7" x14ac:dyDescent="0.2">
      <c r="B44" t="s">
        <v>12</v>
      </c>
      <c r="C44" s="37">
        <f>ROUND(C43/12,0)</f>
        <v>0</v>
      </c>
      <c r="D44" s="37">
        <f t="shared" ref="D44:D46" si="14">ROUND(D43/12,0)</f>
        <v>0</v>
      </c>
      <c r="E44" s="37">
        <f t="shared" ref="E44:E46" si="15">ROUND(E43/12,0)</f>
        <v>0</v>
      </c>
      <c r="F44" s="37">
        <f t="shared" ref="F44:F46" si="16">ROUND(F43/12,0)</f>
        <v>0</v>
      </c>
      <c r="G44" s="37">
        <f t="shared" ref="G44:G46" si="17">ROUND(G43/12,0)</f>
        <v>0</v>
      </c>
    </row>
    <row r="45" spans="1:7" x14ac:dyDescent="0.2">
      <c r="B45" t="s">
        <v>13</v>
      </c>
      <c r="C45" s="27"/>
      <c r="D45" s="27"/>
      <c r="E45" s="27"/>
      <c r="F45" s="27"/>
      <c r="G45" s="27"/>
    </row>
    <row r="46" spans="1:7" x14ac:dyDescent="0.2">
      <c r="B46" t="s">
        <v>14</v>
      </c>
      <c r="C46" s="37">
        <f>ROUND(C45/12,0)</f>
        <v>0</v>
      </c>
      <c r="D46" s="37">
        <f t="shared" si="14"/>
        <v>0</v>
      </c>
      <c r="E46" s="37">
        <f t="shared" si="15"/>
        <v>0</v>
      </c>
      <c r="F46" s="37">
        <f t="shared" si="16"/>
        <v>0</v>
      </c>
      <c r="G46" s="37">
        <f t="shared" si="17"/>
        <v>0</v>
      </c>
    </row>
    <row r="47" spans="1:7" x14ac:dyDescent="0.2">
      <c r="A47" t="s">
        <v>15</v>
      </c>
      <c r="C47" s="3">
        <f>'Master data'!H80+'Master data'!H85</f>
        <v>0</v>
      </c>
      <c r="D47" s="3">
        <f>'Master data'!I80+'Master data'!I85</f>
        <v>0</v>
      </c>
      <c r="E47" s="3">
        <f>'Master data'!J80+'Master data'!J85</f>
        <v>0</v>
      </c>
      <c r="F47" s="3">
        <f>'Master data'!K80+'Master data'!K85</f>
        <v>0</v>
      </c>
      <c r="G47" s="3">
        <f>'Master data'!L80+'Master data'!L85</f>
        <v>0</v>
      </c>
    </row>
    <row r="49" spans="1:8" ht="22" x14ac:dyDescent="0.3">
      <c r="A49" s="32" t="s">
        <v>24</v>
      </c>
      <c r="B49" s="32"/>
      <c r="C49" s="32"/>
      <c r="D49" s="32"/>
      <c r="E49" s="32"/>
      <c r="F49" s="32"/>
      <c r="G49" s="32"/>
    </row>
    <row r="50" spans="1:8" x14ac:dyDescent="0.2">
      <c r="C50" s="24" t="s">
        <v>5</v>
      </c>
      <c r="D50" s="24" t="s">
        <v>6</v>
      </c>
      <c r="E50" s="24" t="s">
        <v>7</v>
      </c>
      <c r="F50" s="24" t="s">
        <v>8</v>
      </c>
      <c r="G50" s="24" t="s">
        <v>9</v>
      </c>
    </row>
    <row r="51" spans="1:8" x14ac:dyDescent="0.2">
      <c r="A51" t="s">
        <v>25</v>
      </c>
      <c r="B51" t="s">
        <v>11</v>
      </c>
      <c r="C51" s="27"/>
      <c r="D51" s="27"/>
      <c r="E51" s="27"/>
      <c r="F51" s="27"/>
      <c r="G51" s="27"/>
    </row>
    <row r="52" spans="1:8" x14ac:dyDescent="0.2">
      <c r="B52" t="s">
        <v>12</v>
      </c>
      <c r="C52" s="37">
        <f>ROUND(C51/12,0)</f>
        <v>0</v>
      </c>
      <c r="D52" s="37">
        <f t="shared" ref="D52" si="18">ROUND(D51/12,0)</f>
        <v>0</v>
      </c>
      <c r="E52" s="37">
        <f t="shared" ref="E52" si="19">ROUND(E51/12,0)</f>
        <v>0</v>
      </c>
      <c r="F52" s="37">
        <f t="shared" ref="F52" si="20">ROUND(F51/12,0)</f>
        <v>0</v>
      </c>
      <c r="G52" s="37">
        <f t="shared" ref="G52" si="21">ROUND(G51/12,0)</f>
        <v>0</v>
      </c>
    </row>
    <row r="53" spans="1:8" x14ac:dyDescent="0.2">
      <c r="B53" t="s">
        <v>13</v>
      </c>
      <c r="C53" s="27"/>
      <c r="D53" s="27"/>
      <c r="E53" s="27"/>
      <c r="F53" s="27"/>
      <c r="G53" s="27"/>
    </row>
    <row r="54" spans="1:8" x14ac:dyDescent="0.2">
      <c r="B54" t="s">
        <v>14</v>
      </c>
      <c r="C54" s="37">
        <f>ROUND(C53/12,0)</f>
        <v>0</v>
      </c>
      <c r="D54" s="37">
        <f t="shared" ref="D54:G54" si="22">ROUND(D53/12,0)</f>
        <v>0</v>
      </c>
      <c r="E54" s="37">
        <f t="shared" si="22"/>
        <v>0</v>
      </c>
      <c r="F54" s="37">
        <f t="shared" si="22"/>
        <v>0</v>
      </c>
      <c r="G54" s="37">
        <f t="shared" si="22"/>
        <v>0</v>
      </c>
    </row>
    <row r="55" spans="1:8" x14ac:dyDescent="0.2">
      <c r="A55" t="s">
        <v>15</v>
      </c>
      <c r="C55" s="36">
        <f>'Master data'!H96</f>
        <v>0</v>
      </c>
      <c r="D55" s="36">
        <f>'Master data'!I96</f>
        <v>0</v>
      </c>
      <c r="E55" s="36">
        <f>'Master data'!J96</f>
        <v>0</v>
      </c>
      <c r="F55" s="36">
        <f>'Master data'!K96</f>
        <v>0</v>
      </c>
      <c r="G55" s="36">
        <f>'Master data'!L96</f>
        <v>0</v>
      </c>
    </row>
    <row r="57" spans="1:8" ht="22" x14ac:dyDescent="0.3">
      <c r="A57" s="23" t="s">
        <v>26</v>
      </c>
      <c r="B57" s="23"/>
      <c r="C57" s="23"/>
      <c r="D57" s="23"/>
      <c r="E57" s="23"/>
      <c r="F57" s="23"/>
      <c r="G57" s="23"/>
      <c r="H57" s="23"/>
    </row>
    <row r="58" spans="1:8" x14ac:dyDescent="0.2">
      <c r="C58" s="24" t="s">
        <v>5</v>
      </c>
      <c r="D58" s="24" t="s">
        <v>6</v>
      </c>
      <c r="E58" s="24" t="s">
        <v>7</v>
      </c>
      <c r="F58" s="24" t="s">
        <v>8</v>
      </c>
      <c r="G58" s="24" t="s">
        <v>9</v>
      </c>
      <c r="H58" s="24" t="s">
        <v>27</v>
      </c>
    </row>
    <row r="59" spans="1:8" ht="20" thickBot="1" x14ac:dyDescent="0.3">
      <c r="A59" s="1"/>
      <c r="B59" t="s">
        <v>15</v>
      </c>
      <c r="C59" s="36">
        <f>C11+C19+C27+C39+C47+C55</f>
        <v>0</v>
      </c>
      <c r="D59" s="36">
        <f>D11+D19+D27+D39+D47+D55</f>
        <v>0</v>
      </c>
      <c r="E59" s="36">
        <f>E11+E19+E27+E39+E47+E55</f>
        <v>0</v>
      </c>
      <c r="F59" s="36">
        <f>F11+F19+F27+F39+F47+F55</f>
        <v>0</v>
      </c>
      <c r="G59" s="36">
        <f>G11+G19+G27+G39+G47+G55</f>
        <v>0</v>
      </c>
      <c r="H59" s="30">
        <f>SUM(C59:G59)</f>
        <v>0</v>
      </c>
    </row>
    <row r="60" spans="1:8" ht="39" customHeight="1" thickBot="1" x14ac:dyDescent="0.3">
      <c r="A60" s="1"/>
      <c r="B60" s="38" t="s">
        <v>28</v>
      </c>
      <c r="C60" s="39">
        <f>ROUNDUP(C59/12,0)</f>
        <v>0</v>
      </c>
      <c r="D60" s="39">
        <f t="shared" ref="D60:G60" si="23">ROUNDUP(D59/12,0)</f>
        <v>0</v>
      </c>
      <c r="E60" s="39">
        <f t="shared" si="23"/>
        <v>0</v>
      </c>
      <c r="F60" s="39">
        <f t="shared" si="23"/>
        <v>0</v>
      </c>
      <c r="G60" s="39">
        <f t="shared" si="23"/>
        <v>0</v>
      </c>
      <c r="H60" s="30"/>
    </row>
    <row r="61" spans="1:8" x14ac:dyDescent="0.2">
      <c r="A61" t="s">
        <v>29</v>
      </c>
      <c r="B61" t="s">
        <v>30</v>
      </c>
      <c r="C61" s="4">
        <f>C59*'Master data'!$B$2</f>
        <v>0</v>
      </c>
      <c r="D61" s="4">
        <f>D59*'Master data'!$B$2</f>
        <v>0</v>
      </c>
      <c r="E61" s="4">
        <f>E59*'Master data'!$B$2</f>
        <v>0</v>
      </c>
      <c r="F61" s="4">
        <f>F59*'Master data'!$B$2</f>
        <v>0</v>
      </c>
      <c r="G61" s="4">
        <f>G59*'Master data'!$B$2</f>
        <v>0</v>
      </c>
      <c r="H61" s="31">
        <f t="shared" ref="H61:H62" si="24">SUM(C61:G61)</f>
        <v>0</v>
      </c>
    </row>
    <row r="62" spans="1:8" x14ac:dyDescent="0.2">
      <c r="A62" s="28">
        <v>0</v>
      </c>
      <c r="B62" t="s">
        <v>31</v>
      </c>
      <c r="C62" s="26">
        <f>C61*(1-$A62)</f>
        <v>0</v>
      </c>
      <c r="D62" s="26">
        <f t="shared" ref="D62:G62" si="25">D61*(1-$A62)</f>
        <v>0</v>
      </c>
      <c r="E62" s="26">
        <f t="shared" si="25"/>
        <v>0</v>
      </c>
      <c r="F62" s="26">
        <f t="shared" si="25"/>
        <v>0</v>
      </c>
      <c r="G62" s="26">
        <f t="shared" si="25"/>
        <v>0</v>
      </c>
      <c r="H62" s="31">
        <f t="shared" si="24"/>
        <v>0</v>
      </c>
    </row>
    <row r="63" spans="1:8" x14ac:dyDescent="0.2">
      <c r="A63" s="44" t="s">
        <v>32</v>
      </c>
      <c r="C63" s="45"/>
      <c r="D63" s="45"/>
      <c r="E63" s="45"/>
      <c r="F63" s="45"/>
      <c r="G63" s="45"/>
      <c r="H63" s="45"/>
    </row>
    <row r="64" spans="1:8" ht="17" x14ac:dyDescent="0.2">
      <c r="A64" s="46" t="s">
        <v>33</v>
      </c>
      <c r="B64" s="47" t="s">
        <v>34</v>
      </c>
      <c r="C64" s="48">
        <f>IF($A64="Yes", IF(C62*15%&lt;50000,IF(C62=0,0,50000),C62*15%),0)</f>
        <v>0</v>
      </c>
      <c r="D64" s="48">
        <f t="shared" ref="D64:G64" si="26">IF($A64="Yes", IF(D62*15%&lt;50000,IF(D62=0,0,50000),D62*15%),0)</f>
        <v>0</v>
      </c>
      <c r="E64" s="48">
        <f t="shared" si="26"/>
        <v>0</v>
      </c>
      <c r="F64" s="48">
        <f t="shared" si="26"/>
        <v>0</v>
      </c>
      <c r="G64" s="48">
        <f t="shared" si="26"/>
        <v>0</v>
      </c>
      <c r="H64" s="49">
        <f>SUM(C64:G64)</f>
        <v>0</v>
      </c>
    </row>
    <row r="65" spans="1:8" ht="17" x14ac:dyDescent="0.2">
      <c r="A65" s="50" t="s">
        <v>35</v>
      </c>
      <c r="B65" s="47"/>
      <c r="C65" s="48"/>
      <c r="D65" s="48"/>
      <c r="E65" s="48"/>
      <c r="F65" s="48"/>
      <c r="G65" s="48"/>
      <c r="H65" s="49"/>
    </row>
    <row r="66" spans="1:8" ht="34" x14ac:dyDescent="0.2">
      <c r="A66" s="28">
        <v>0</v>
      </c>
      <c r="B66" s="47" t="s">
        <v>36</v>
      </c>
      <c r="C66" s="48">
        <f>IF(C64=0,0,(IF(C64*(1-$A66)&lt;50000, 50000,C64*(1-$A66))))</f>
        <v>0</v>
      </c>
      <c r="D66" s="48">
        <f t="shared" ref="D66:G66" si="27">IF(D64=0,0,(IF(D64*(1-$A66)&lt;50000, 50000,D64*(1-$A66))))</f>
        <v>0</v>
      </c>
      <c r="E66" s="48">
        <f t="shared" si="27"/>
        <v>0</v>
      </c>
      <c r="F66" s="48">
        <f t="shared" si="27"/>
        <v>0</v>
      </c>
      <c r="G66" s="48">
        <f t="shared" si="27"/>
        <v>0</v>
      </c>
      <c r="H66" s="49">
        <f>SUM(C66:G66)</f>
        <v>0</v>
      </c>
    </row>
    <row r="67" spans="1:8" ht="17" x14ac:dyDescent="0.2">
      <c r="A67" s="44"/>
      <c r="B67" s="47" t="s">
        <v>37</v>
      </c>
      <c r="C67" s="51">
        <f>SUM(C66,C62)</f>
        <v>0</v>
      </c>
      <c r="D67" s="51">
        <f t="shared" ref="D67:G67" si="28">SUM(D66,D62)</f>
        <v>0</v>
      </c>
      <c r="E67" s="51">
        <f t="shared" si="28"/>
        <v>0</v>
      </c>
      <c r="F67" s="51">
        <f t="shared" si="28"/>
        <v>0</v>
      </c>
      <c r="G67" s="51">
        <f t="shared" si="28"/>
        <v>0</v>
      </c>
      <c r="H67" s="49">
        <f t="shared" ref="H67" si="29">SUM(C67:G67)</f>
        <v>0</v>
      </c>
    </row>
    <row r="68" spans="1:8" ht="17" thickBot="1" x14ac:dyDescent="0.25"/>
    <row r="69" spans="1:8" x14ac:dyDescent="0.2">
      <c r="A69" s="29" t="s">
        <v>74</v>
      </c>
      <c r="B69" s="61" t="s">
        <v>38</v>
      </c>
      <c r="C69" s="62"/>
      <c r="D69" s="63"/>
      <c r="F69" s="70" t="str">
        <f>IF(C59&lt;1200, "Below minimum 1200 RUs", "")</f>
        <v>Below minimum 1200 RUs</v>
      </c>
      <c r="G69" s="71"/>
    </row>
    <row r="70" spans="1:8" ht="17" thickBot="1" x14ac:dyDescent="0.25">
      <c r="B70" s="64"/>
      <c r="C70" s="65"/>
      <c r="D70" s="66"/>
      <c r="F70" s="72"/>
      <c r="G70" s="73"/>
    </row>
    <row r="71" spans="1:8" ht="17" thickBot="1" x14ac:dyDescent="0.25">
      <c r="B71" s="67"/>
      <c r="C71" s="68"/>
      <c r="D71" s="69"/>
    </row>
  </sheetData>
  <sheetProtection algorithmName="SHA-512" hashValue="JPEWb+9BpVygvq5ztl/onyHOQ5K9mJ5BIgYxDY/fAqXhUiISgjU2FcFqkQ7X/TIrlWqL6FfTGLGnVtscUKGbkg==" saltValue="OHruhcJGT2tIGVTPwrId8g==" spinCount="100000" sheet="1" objects="1" scenarios="1"/>
  <protectedRanges>
    <protectedRange sqref="C31:G31 C33:G33 C35:G35 C37:G37" name="Range8"/>
    <protectedRange sqref="A62 A64 A66 C23:G23 C25:G25 C43:G43 C45:G45 C51:G51 C53:G53 C7:G7 C9:G9" name="Range2"/>
  </protectedRanges>
  <mergeCells count="3">
    <mergeCell ref="E1:I3"/>
    <mergeCell ref="B69:D71"/>
    <mergeCell ref="F69:G70"/>
  </mergeCells>
  <conditionalFormatting sqref="C59:G59">
    <cfRule type="cellIs" dxfId="0" priority="1" operator="lessThan">
      <formula>1200</formula>
    </cfRule>
  </conditionalFormatting>
  <dataValidations count="1">
    <dataValidation type="list" allowBlank="1" showInputMessage="1" showErrorMessage="1" sqref="A64" xr:uid="{7F959E83-25DE-4CB6-89AF-C7FED1CAF3B6}">
      <formula1>"No, Yes"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15171-CA5B-CB4B-B6AA-C01E26927645}">
  <sheetPr codeName="Sheet2"/>
  <dimension ref="A1:A25"/>
  <sheetViews>
    <sheetView topLeftCell="A18" workbookViewId="0">
      <selection activeCell="A11" sqref="A11"/>
    </sheetView>
  </sheetViews>
  <sheetFormatPr baseColWidth="10" defaultColWidth="11" defaultRowHeight="16" x14ac:dyDescent="0.2"/>
  <cols>
    <col min="1" max="1" width="145.33203125" customWidth="1"/>
  </cols>
  <sheetData>
    <row r="1" spans="1:1" ht="23" x14ac:dyDescent="0.2">
      <c r="A1" s="41" t="s">
        <v>18</v>
      </c>
    </row>
    <row r="2" spans="1:1" ht="115" x14ac:dyDescent="0.2">
      <c r="A2" s="42" t="s">
        <v>39</v>
      </c>
    </row>
    <row r="3" spans="1:1" ht="23" x14ac:dyDescent="0.2">
      <c r="A3" s="42" t="s">
        <v>40</v>
      </c>
    </row>
    <row r="4" spans="1:1" ht="23" x14ac:dyDescent="0.2">
      <c r="A4" s="41" t="s">
        <v>20</v>
      </c>
    </row>
    <row r="5" spans="1:1" ht="69" x14ac:dyDescent="0.2">
      <c r="A5" s="42" t="s">
        <v>41</v>
      </c>
    </row>
    <row r="6" spans="1:1" ht="23" x14ac:dyDescent="0.2">
      <c r="A6" s="42" t="s">
        <v>42</v>
      </c>
    </row>
    <row r="7" spans="1:1" ht="23" x14ac:dyDescent="0.2">
      <c r="A7" s="41" t="s">
        <v>69</v>
      </c>
    </row>
    <row r="8" spans="1:1" ht="46" x14ac:dyDescent="0.2">
      <c r="A8" s="42" t="s">
        <v>70</v>
      </c>
    </row>
    <row r="9" spans="1:1" ht="23" x14ac:dyDescent="0.2">
      <c r="A9" s="42" t="s">
        <v>71</v>
      </c>
    </row>
    <row r="10" spans="1:1" ht="23" x14ac:dyDescent="0.2">
      <c r="A10" s="41" t="s">
        <v>4</v>
      </c>
    </row>
    <row r="11" spans="1:1" ht="69" x14ac:dyDescent="0.2">
      <c r="A11" s="42" t="s">
        <v>43</v>
      </c>
    </row>
    <row r="12" spans="1:1" ht="23" x14ac:dyDescent="0.2">
      <c r="A12" s="42" t="s">
        <v>44</v>
      </c>
    </row>
    <row r="13" spans="1:1" ht="23" x14ac:dyDescent="0.2">
      <c r="A13" s="41" t="s">
        <v>16</v>
      </c>
    </row>
    <row r="14" spans="1:1" ht="23" x14ac:dyDescent="0.2">
      <c r="A14" s="42" t="s">
        <v>45</v>
      </c>
    </row>
    <row r="15" spans="1:1" ht="23" x14ac:dyDescent="0.2">
      <c r="A15" s="41" t="s">
        <v>46</v>
      </c>
    </row>
    <row r="16" spans="1:1" ht="46" x14ac:dyDescent="0.2">
      <c r="A16" s="42" t="s">
        <v>47</v>
      </c>
    </row>
    <row r="17" spans="1:1" ht="23" x14ac:dyDescent="0.2">
      <c r="A17" s="41" t="s">
        <v>22</v>
      </c>
    </row>
    <row r="18" spans="1:1" ht="138" x14ac:dyDescent="0.2">
      <c r="A18" s="42" t="s">
        <v>48</v>
      </c>
    </row>
    <row r="21" spans="1:1" ht="22" x14ac:dyDescent="0.3">
      <c r="A21" s="40" t="s">
        <v>49</v>
      </c>
    </row>
    <row r="22" spans="1:1" ht="220" x14ac:dyDescent="0.2">
      <c r="A22" s="43" t="s">
        <v>50</v>
      </c>
    </row>
    <row r="24" spans="1:1" ht="22" x14ac:dyDescent="0.3">
      <c r="A24" s="40" t="s">
        <v>51</v>
      </c>
    </row>
    <row r="25" spans="1:1" ht="44" x14ac:dyDescent="0.2">
      <c r="A25" s="43" t="s">
        <v>52</v>
      </c>
    </row>
  </sheetData>
  <sheetProtection algorithmName="SHA-512" hashValue="lNnnQMNtaarGda3L56PxfrHhoMZfdqN34ZagFvEPTehtlbzNivfwEqkbaFZqJSNgT/IwpIxRm29qS4ZUa+J8+Q==" saltValue="Pvm/XwrVJD3rhbRD5r9cTw=="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52FC0-9195-CE43-9D42-6BE87736D24C}">
  <sheetPr codeName="Sheet3"/>
  <dimension ref="A1:L101"/>
  <sheetViews>
    <sheetView topLeftCell="A68" workbookViewId="0">
      <selection activeCell="J107" sqref="J107"/>
    </sheetView>
  </sheetViews>
  <sheetFormatPr baseColWidth="10" defaultColWidth="11" defaultRowHeight="16" x14ac:dyDescent="0.2"/>
  <cols>
    <col min="1" max="1" width="23.6640625" customWidth="1"/>
    <col min="2" max="2" width="14.33203125" bestFit="1" customWidth="1"/>
    <col min="3" max="3" width="19" bestFit="1" customWidth="1"/>
    <col min="8" max="8" width="14.33203125" bestFit="1" customWidth="1"/>
    <col min="9" max="12" width="11.83203125" bestFit="1" customWidth="1"/>
  </cols>
  <sheetData>
    <row r="1" spans="1:12" x14ac:dyDescent="0.2">
      <c r="A1" s="25" t="s">
        <v>53</v>
      </c>
      <c r="B1" s="25"/>
      <c r="C1" s="25"/>
      <c r="D1" s="25"/>
      <c r="E1" s="25"/>
      <c r="G1" s="25" t="s">
        <v>54</v>
      </c>
      <c r="H1" s="25"/>
      <c r="I1" s="25"/>
      <c r="J1" s="25"/>
      <c r="K1" s="25"/>
      <c r="L1" s="25"/>
    </row>
    <row r="2" spans="1:12" x14ac:dyDescent="0.2">
      <c r="A2" t="s">
        <v>55</v>
      </c>
      <c r="B2" s="17">
        <v>40</v>
      </c>
    </row>
    <row r="3" spans="1:12" x14ac:dyDescent="0.2">
      <c r="H3" t="s">
        <v>5</v>
      </c>
      <c r="I3" t="s">
        <v>6</v>
      </c>
      <c r="J3" t="s">
        <v>7</v>
      </c>
      <c r="K3" t="s">
        <v>8</v>
      </c>
      <c r="L3" t="s">
        <v>9</v>
      </c>
    </row>
    <row r="4" spans="1:12" x14ac:dyDescent="0.2">
      <c r="A4" s="6" t="s">
        <v>4</v>
      </c>
      <c r="B4" s="7" t="s">
        <v>56</v>
      </c>
      <c r="C4" s="7"/>
      <c r="D4" s="7"/>
      <c r="E4" s="7"/>
      <c r="G4" t="s">
        <v>57</v>
      </c>
      <c r="H4" s="5">
        <f>'What to buy '!C7</f>
        <v>0</v>
      </c>
      <c r="I4" s="5">
        <f>'What to buy '!D7</f>
        <v>0</v>
      </c>
      <c r="J4" s="5">
        <f>'What to buy '!E7</f>
        <v>0</v>
      </c>
      <c r="K4" s="5">
        <f>'What to buy '!F7</f>
        <v>0</v>
      </c>
      <c r="L4" s="5">
        <f>'What to buy '!G7</f>
        <v>0</v>
      </c>
    </row>
    <row r="5" spans="1:12" x14ac:dyDescent="0.2">
      <c r="A5" s="7"/>
      <c r="B5" s="7" t="s">
        <v>58</v>
      </c>
      <c r="C5" s="7" t="s">
        <v>59</v>
      </c>
      <c r="D5" s="7" t="s">
        <v>15</v>
      </c>
      <c r="E5" s="7" t="s">
        <v>60</v>
      </c>
      <c r="G5" t="s">
        <v>15</v>
      </c>
      <c r="H5" s="5">
        <f>ROUNDUP(MIN(H4,$C6)/$E6,0)*$D6 + IF(H4&gt;$C6,ROUNDUP(MIN(H4-$C6,$C7-$C6)/$E7,0)*$D7,0) + IF(H4&gt;$C7,ROUNDUP(MIN(H4-$C7,$C8-$C7)/$E8,0)*$D8,0)</f>
        <v>0</v>
      </c>
      <c r="I5" s="5">
        <f t="shared" ref="I5:L5" si="0">ROUNDUP(MIN(I4,$C6)/$E6,0)*$D6 + IF(I4&gt;$C6,ROUNDUP(MIN(I4-$C6,$C7-$C6)/$E7,0)*$D7,0) + IF(I4&gt;$C7,ROUNDUP(MIN(I4-$C7,$C8-$C7)/$E8,0)*$D8,0)</f>
        <v>0</v>
      </c>
      <c r="J5" s="5">
        <f t="shared" si="0"/>
        <v>0</v>
      </c>
      <c r="K5" s="5">
        <f t="shared" si="0"/>
        <v>0</v>
      </c>
      <c r="L5" s="5">
        <f t="shared" si="0"/>
        <v>0</v>
      </c>
    </row>
    <row r="6" spans="1:12" x14ac:dyDescent="0.2">
      <c r="A6" s="7" t="s">
        <v>61</v>
      </c>
      <c r="B6" s="8">
        <v>0</v>
      </c>
      <c r="C6" s="8">
        <v>10000000</v>
      </c>
      <c r="D6" s="7">
        <v>20</v>
      </c>
      <c r="E6" s="8">
        <v>100000</v>
      </c>
      <c r="I6" s="18"/>
    </row>
    <row r="7" spans="1:12" x14ac:dyDescent="0.2">
      <c r="A7" s="7"/>
      <c r="B7" s="8">
        <f>C6+1</f>
        <v>10000001</v>
      </c>
      <c r="C7" s="8">
        <v>100000000</v>
      </c>
      <c r="D7" s="7">
        <v>4</v>
      </c>
      <c r="E7" s="8">
        <f>E6</f>
        <v>100000</v>
      </c>
      <c r="H7" s="18"/>
    </row>
    <row r="8" spans="1:12" x14ac:dyDescent="0.2">
      <c r="A8" s="7"/>
      <c r="B8" s="8">
        <f>C7+1</f>
        <v>100000001</v>
      </c>
      <c r="C8" s="8">
        <v>999999999999999</v>
      </c>
      <c r="D8" s="7">
        <v>1</v>
      </c>
      <c r="E8" s="8">
        <f>E7</f>
        <v>100000</v>
      </c>
    </row>
    <row r="9" spans="1:12" x14ac:dyDescent="0.2">
      <c r="A9" s="6" t="s">
        <v>62</v>
      </c>
      <c r="B9" s="7" t="s">
        <v>56</v>
      </c>
      <c r="C9" s="7"/>
      <c r="D9" s="7"/>
      <c r="E9" s="7"/>
      <c r="G9" t="s">
        <v>57</v>
      </c>
      <c r="H9" s="5">
        <f>'What to buy '!C9</f>
        <v>0</v>
      </c>
      <c r="I9" s="5">
        <f>'What to buy '!D9</f>
        <v>0</v>
      </c>
      <c r="J9" s="5">
        <f>'What to buy '!E9</f>
        <v>0</v>
      </c>
      <c r="K9" s="5">
        <f>'What to buy '!F9</f>
        <v>0</v>
      </c>
      <c r="L9" s="5">
        <f>'What to buy '!G9</f>
        <v>0</v>
      </c>
    </row>
    <row r="10" spans="1:12" x14ac:dyDescent="0.2">
      <c r="A10" s="7"/>
      <c r="B10" s="7" t="s">
        <v>58</v>
      </c>
      <c r="C10" s="7" t="s">
        <v>59</v>
      </c>
      <c r="D10" s="7" t="s">
        <v>15</v>
      </c>
      <c r="E10" s="7" t="s">
        <v>60</v>
      </c>
      <c r="G10" t="s">
        <v>15</v>
      </c>
      <c r="H10" s="5">
        <f>ROUNDUP(MIN(H9,$C11)/$E11,0)*$D11 + IF(H9&gt;$C11,ROUNDUP(MIN(H9-$C11,$C12-$C11)/$E12,0)*$D12,0) + IF(H9&gt;$C12,ROUNDUP(MIN(H9-$C12,$C13-$C12)/$E13,0)*$D13,0)</f>
        <v>0</v>
      </c>
      <c r="I10" s="5">
        <f t="shared" ref="I10:L10" si="1">ROUNDUP(MIN(I9,$C11)/$E11,0)*$D11 + IF(I9&gt;$C11,ROUNDUP(MIN(I9-$C11,$C12-$C11)/$E12,0)*$D12,0) + IF(I9&gt;$C12,ROUNDUP(MIN(I9-$C12,$C13-$C12)/$E13,0)*$D13,0)</f>
        <v>0</v>
      </c>
      <c r="J10" s="5">
        <f t="shared" si="1"/>
        <v>0</v>
      </c>
      <c r="K10" s="5">
        <f t="shared" si="1"/>
        <v>0</v>
      </c>
      <c r="L10" s="5">
        <f t="shared" si="1"/>
        <v>0</v>
      </c>
    </row>
    <row r="11" spans="1:12" x14ac:dyDescent="0.2">
      <c r="A11" s="7" t="s">
        <v>61</v>
      </c>
      <c r="B11" s="8">
        <v>0</v>
      </c>
      <c r="C11" s="8">
        <v>10000000</v>
      </c>
      <c r="D11" s="7">
        <v>20</v>
      </c>
      <c r="E11" s="8">
        <v>200000</v>
      </c>
      <c r="I11" s="18"/>
    </row>
    <row r="12" spans="1:12" x14ac:dyDescent="0.2">
      <c r="A12" s="7"/>
      <c r="B12" s="8">
        <f>C11+1</f>
        <v>10000001</v>
      </c>
      <c r="C12" s="8">
        <v>100000000</v>
      </c>
      <c r="D12" s="7">
        <v>4</v>
      </c>
      <c r="E12" s="8">
        <v>200000</v>
      </c>
      <c r="H12" s="18"/>
    </row>
    <row r="13" spans="1:12" x14ac:dyDescent="0.2">
      <c r="A13" s="7"/>
      <c r="B13" s="8">
        <f>C12+1</f>
        <v>100000001</v>
      </c>
      <c r="C13" s="8">
        <v>999999999999999</v>
      </c>
      <c r="D13" s="7">
        <v>1</v>
      </c>
      <c r="E13" s="8">
        <v>200000</v>
      </c>
    </row>
    <row r="14" spans="1:12" x14ac:dyDescent="0.2">
      <c r="A14" s="7"/>
      <c r="B14" s="8"/>
      <c r="C14" s="8"/>
      <c r="D14" s="7"/>
      <c r="E14" s="8"/>
    </row>
    <row r="20" spans="1:12" x14ac:dyDescent="0.2">
      <c r="A20" s="10" t="s">
        <v>16</v>
      </c>
      <c r="B20" s="3" t="s">
        <v>56</v>
      </c>
      <c r="C20" s="3"/>
      <c r="D20" s="3"/>
      <c r="E20" s="3"/>
      <c r="G20" t="s">
        <v>57</v>
      </c>
      <c r="H20" s="5">
        <f>'What to buy '!C15</f>
        <v>0</v>
      </c>
      <c r="I20" s="5">
        <f>'What to buy '!D15</f>
        <v>0</v>
      </c>
      <c r="J20" s="5">
        <f>'What to buy '!E15</f>
        <v>0</v>
      </c>
      <c r="K20" s="5">
        <f>'What to buy '!F15</f>
        <v>0</v>
      </c>
      <c r="L20" s="5">
        <f>'What to buy '!G15</f>
        <v>0</v>
      </c>
    </row>
    <row r="21" spans="1:12" x14ac:dyDescent="0.2">
      <c r="A21" s="3"/>
      <c r="B21" s="3" t="s">
        <v>58</v>
      </c>
      <c r="C21" s="3" t="s">
        <v>59</v>
      </c>
      <c r="D21" s="3" t="s">
        <v>15</v>
      </c>
      <c r="E21" s="3" t="s">
        <v>60</v>
      </c>
      <c r="G21" t="s">
        <v>15</v>
      </c>
      <c r="H21" s="5">
        <f>ROUNDUP(MIN(H20,$C22)/$E22,0)*$D22 + IF(H20&gt;$C22,ROUNDUP(MIN(H20-$C22,$C23-$C22)/$E23,0)*$D23,0) + IF(H20&gt;$C23,ROUNDUP(MIN(H20-$C23,$C24-$C23)/$E24,0)*$D24,0)</f>
        <v>0</v>
      </c>
      <c r="I21" s="5">
        <f t="shared" ref="I21:L21" si="2">ROUNDUP(MIN(I20,$C22)/$E22,0)*$D22 + IF(I20&gt;$C22,ROUNDUP(MIN(I20-$C22,$C23-$C22)/$E23,0)*$D23,0) + IF(I20&gt;$C23,ROUNDUP(MIN(I20-$C23,$C24-$C23)/$E24,0)*$D24,0)</f>
        <v>0</v>
      </c>
      <c r="J21" s="5">
        <f t="shared" si="2"/>
        <v>0</v>
      </c>
      <c r="K21" s="5">
        <f t="shared" si="2"/>
        <v>0</v>
      </c>
      <c r="L21" s="5">
        <f t="shared" si="2"/>
        <v>0</v>
      </c>
    </row>
    <row r="22" spans="1:12" x14ac:dyDescent="0.2">
      <c r="A22" s="3" t="s">
        <v>61</v>
      </c>
      <c r="B22" s="9">
        <v>0</v>
      </c>
      <c r="C22" s="9">
        <v>100000000</v>
      </c>
      <c r="D22" s="3">
        <v>20</v>
      </c>
      <c r="E22" s="9">
        <v>1000000</v>
      </c>
    </row>
    <row r="23" spans="1:12" x14ac:dyDescent="0.2">
      <c r="A23" s="3"/>
      <c r="B23" s="9">
        <f>C22+1</f>
        <v>100000001</v>
      </c>
      <c r="C23" s="9">
        <v>1000000000</v>
      </c>
      <c r="D23" s="3">
        <v>3</v>
      </c>
      <c r="E23" s="9">
        <f>E22</f>
        <v>1000000</v>
      </c>
    </row>
    <row r="24" spans="1:12" x14ac:dyDescent="0.2">
      <c r="A24" s="3"/>
      <c r="B24" s="9">
        <f>C23+1</f>
        <v>1000000001</v>
      </c>
      <c r="C24" s="9">
        <v>999999999999999</v>
      </c>
      <c r="D24" s="3">
        <v>2</v>
      </c>
      <c r="E24" s="9">
        <f>E23</f>
        <v>1000000</v>
      </c>
    </row>
    <row r="25" spans="1:12" x14ac:dyDescent="0.2">
      <c r="A25" s="10" t="s">
        <v>63</v>
      </c>
      <c r="B25" s="3" t="s">
        <v>56</v>
      </c>
      <c r="C25" s="3"/>
      <c r="D25" s="3"/>
      <c r="E25" s="3"/>
      <c r="G25" t="s">
        <v>57</v>
      </c>
      <c r="H25" s="5">
        <f>'What to buy '!C17</f>
        <v>0</v>
      </c>
      <c r="I25" s="5">
        <f>'What to buy '!D17</f>
        <v>0</v>
      </c>
      <c r="J25" s="5">
        <f>'What to buy '!E17</f>
        <v>0</v>
      </c>
      <c r="K25" s="5">
        <f>'What to buy '!F17</f>
        <v>0</v>
      </c>
      <c r="L25" s="5">
        <f>'What to buy '!G17</f>
        <v>0</v>
      </c>
    </row>
    <row r="26" spans="1:12" x14ac:dyDescent="0.2">
      <c r="A26" s="3"/>
      <c r="B26" s="3" t="s">
        <v>58</v>
      </c>
      <c r="C26" s="3" t="s">
        <v>59</v>
      </c>
      <c r="D26" s="3" t="s">
        <v>15</v>
      </c>
      <c r="E26" s="3" t="s">
        <v>60</v>
      </c>
      <c r="G26" t="s">
        <v>15</v>
      </c>
      <c r="H26" s="5">
        <f>ROUNDUP(MIN(H25,$C27)/$E27,0)*$D27 + IF(H25&gt;$C27,ROUNDUP(MIN(H25-$C27,$C28-$C27)/$E28,0)*$D28,0) + IF(H25&gt;$C28,ROUNDUP(MIN(H25-$C28,$C29-$C28)/$E29,0)*$D29,0)</f>
        <v>0</v>
      </c>
      <c r="I26" s="5">
        <f t="shared" ref="I26:L26" si="3">ROUNDUP(MIN(I25,$C27)/$E27,0)*$D27 + IF(I25&gt;$C27,ROUNDUP(MIN(I25-$C27,$C28-$C27)/$E28,0)*$D28,0) + IF(I25&gt;$C28,ROUNDUP(MIN(I25-$C28,$C29-$C28)/$E29,0)*$D29,0)</f>
        <v>0</v>
      </c>
      <c r="J26" s="5">
        <f t="shared" si="3"/>
        <v>0</v>
      </c>
      <c r="K26" s="5">
        <f t="shared" si="3"/>
        <v>0</v>
      </c>
      <c r="L26" s="5">
        <f t="shared" si="3"/>
        <v>0</v>
      </c>
    </row>
    <row r="27" spans="1:12" x14ac:dyDescent="0.2">
      <c r="A27" s="3" t="s">
        <v>61</v>
      </c>
      <c r="B27" s="9">
        <v>0</v>
      </c>
      <c r="C27" s="9">
        <v>100000000</v>
      </c>
      <c r="D27" s="3">
        <v>20</v>
      </c>
      <c r="E27" s="9">
        <v>2000000</v>
      </c>
    </row>
    <row r="28" spans="1:12" x14ac:dyDescent="0.2">
      <c r="A28" s="3"/>
      <c r="B28" s="9">
        <f>C27+1</f>
        <v>100000001</v>
      </c>
      <c r="C28" s="9">
        <v>1000000000</v>
      </c>
      <c r="D28" s="3">
        <v>3</v>
      </c>
      <c r="E28" s="9">
        <f>E27</f>
        <v>2000000</v>
      </c>
    </row>
    <row r="29" spans="1:12" x14ac:dyDescent="0.2">
      <c r="A29" s="3"/>
      <c r="B29" s="9">
        <f>C28+1</f>
        <v>1000000001</v>
      </c>
      <c r="C29" s="9">
        <v>999999999999999</v>
      </c>
      <c r="D29" s="3">
        <v>2</v>
      </c>
      <c r="E29" s="9">
        <f>E28</f>
        <v>2000000</v>
      </c>
    </row>
    <row r="30" spans="1:12" x14ac:dyDescent="0.2">
      <c r="A30" s="3"/>
      <c r="B30" s="9"/>
      <c r="C30" s="9"/>
      <c r="D30" s="3"/>
      <c r="E30" s="9"/>
    </row>
    <row r="36" spans="1:12" x14ac:dyDescent="0.2">
      <c r="A36" s="13" t="s">
        <v>18</v>
      </c>
      <c r="B36" s="11" t="s">
        <v>56</v>
      </c>
      <c r="C36" s="11"/>
      <c r="D36" s="11"/>
      <c r="E36" s="11"/>
      <c r="G36" t="s">
        <v>57</v>
      </c>
      <c r="H36" s="5">
        <f>'What to buy '!C23</f>
        <v>0</v>
      </c>
      <c r="I36" s="5">
        <f>'What to buy '!D23</f>
        <v>0</v>
      </c>
      <c r="J36" s="5">
        <f>'What to buy '!E23</f>
        <v>0</v>
      </c>
      <c r="K36" s="5">
        <f>'What to buy '!F23</f>
        <v>0</v>
      </c>
      <c r="L36" s="5">
        <f>'What to buy '!G23</f>
        <v>0</v>
      </c>
    </row>
    <row r="37" spans="1:12" x14ac:dyDescent="0.2">
      <c r="A37" s="11"/>
      <c r="B37" s="11" t="s">
        <v>58</v>
      </c>
      <c r="C37" s="11" t="s">
        <v>59</v>
      </c>
      <c r="D37" s="11" t="s">
        <v>15</v>
      </c>
      <c r="E37" s="11" t="s">
        <v>60</v>
      </c>
      <c r="G37" t="s">
        <v>15</v>
      </c>
      <c r="H37" s="5">
        <f>ROUNDUP(MIN(H36,$C38)/$E38,0)*$D38 + IF(H36&gt;$C38,ROUNDUP(MIN(H36-$C38,$C39-$C38)/$E39,0)*$D39,0) + IF(H36&gt;$C39,ROUNDUP(MIN(H36-$C39,$C40-$C39)/$E40,0)*$D40,0)</f>
        <v>0</v>
      </c>
      <c r="I37" s="5">
        <f t="shared" ref="I37" si="4">ROUNDUP(MIN(I36,$C38)/$E38,0)*$D38 + IF(I36&gt;$C38,ROUNDUP(MIN(I36-$C38,$C39-$C38)/$E39,0)*$D39,0) + IF(I36&gt;$C39,ROUNDUP(MIN(I36-$C39,$C40-$C39)/$E40,0)*$D40,0)</f>
        <v>0</v>
      </c>
      <c r="J37" s="5">
        <f t="shared" ref="J37" si="5">ROUNDUP(MIN(J36,$C38)/$E38,0)*$D38 + IF(J36&gt;$C38,ROUNDUP(MIN(J36-$C38,$C39-$C38)/$E39,0)*$D39,0) + IF(J36&gt;$C39,ROUNDUP(MIN(J36-$C39,$C40-$C39)/$E40,0)*$D40,0)</f>
        <v>0</v>
      </c>
      <c r="K37" s="5">
        <f t="shared" ref="K37" si="6">ROUNDUP(MIN(K36,$C38)/$E38,0)*$D38 + IF(K36&gt;$C38,ROUNDUP(MIN(K36-$C38,$C39-$C38)/$E39,0)*$D39,0) + IF(K36&gt;$C39,ROUNDUP(MIN(K36-$C39,$C40-$C39)/$E40,0)*$D40,0)</f>
        <v>0</v>
      </c>
      <c r="L37" s="5">
        <f t="shared" ref="L37" si="7">ROUNDUP(MIN(L36,$C38)/$E38,0)*$D38 + IF(L36&gt;$C38,ROUNDUP(MIN(L36-$C38,$C39-$C38)/$E39,0)*$D39,0) + IF(L36&gt;$C39,ROUNDUP(MIN(L36-$C39,$C40-$C39)/$E40,0)*$D40,0)</f>
        <v>0</v>
      </c>
    </row>
    <row r="38" spans="1:12" x14ac:dyDescent="0.2">
      <c r="A38" s="11" t="s">
        <v>61</v>
      </c>
      <c r="B38" s="12">
        <v>0</v>
      </c>
      <c r="C38" s="12">
        <v>10000000</v>
      </c>
      <c r="D38" s="11">
        <v>20</v>
      </c>
      <c r="E38" s="12">
        <v>100000</v>
      </c>
    </row>
    <row r="39" spans="1:12" x14ac:dyDescent="0.2">
      <c r="A39" s="11"/>
      <c r="B39" s="12">
        <f>C38+1</f>
        <v>10000001</v>
      </c>
      <c r="C39" s="12">
        <v>100000000</v>
      </c>
      <c r="D39" s="11">
        <v>4</v>
      </c>
      <c r="E39" s="12">
        <f>E38</f>
        <v>100000</v>
      </c>
    </row>
    <row r="40" spans="1:12" x14ac:dyDescent="0.2">
      <c r="A40" s="11"/>
      <c r="B40" s="12">
        <f>C39+1</f>
        <v>100000001</v>
      </c>
      <c r="C40" s="12">
        <v>999999999999999</v>
      </c>
      <c r="D40" s="11">
        <v>1</v>
      </c>
      <c r="E40" s="12">
        <f>E39</f>
        <v>100000</v>
      </c>
    </row>
    <row r="41" spans="1:12" x14ac:dyDescent="0.2">
      <c r="A41" s="13" t="s">
        <v>64</v>
      </c>
      <c r="B41" s="11" t="s">
        <v>56</v>
      </c>
      <c r="C41" s="11"/>
      <c r="D41" s="11"/>
      <c r="E41" s="11"/>
      <c r="G41" t="s">
        <v>57</v>
      </c>
      <c r="H41" s="5">
        <f>'What to buy '!C25</f>
        <v>0</v>
      </c>
      <c r="I41" s="5">
        <f>'What to buy '!D25</f>
        <v>0</v>
      </c>
      <c r="J41" s="5">
        <f>'What to buy '!E25</f>
        <v>0</v>
      </c>
      <c r="K41" s="5">
        <f>'What to buy '!F25</f>
        <v>0</v>
      </c>
      <c r="L41" s="5">
        <f>'What to buy '!G25</f>
        <v>0</v>
      </c>
    </row>
    <row r="42" spans="1:12" x14ac:dyDescent="0.2">
      <c r="A42" s="11"/>
      <c r="B42" s="11" t="s">
        <v>58</v>
      </c>
      <c r="C42" s="11" t="s">
        <v>59</v>
      </c>
      <c r="D42" s="11" t="s">
        <v>15</v>
      </c>
      <c r="E42" s="11" t="s">
        <v>60</v>
      </c>
      <c r="G42" t="s">
        <v>15</v>
      </c>
      <c r="H42" s="5">
        <f>ROUNDUP(MIN(H41,$C43)/$E43,0)*$D43 + IF(H41&gt;$C43,ROUNDUP(MIN(H41-$C43,$C44-$C43)/$E44,0)*$D44,0) + IF(H41&gt;$C44,ROUNDUP(MIN(H41-$C44,$C45-$C44)/$E45,0)*$D45,0)</f>
        <v>0</v>
      </c>
      <c r="I42" s="5">
        <f t="shared" ref="I42:L42" si="8">ROUNDUP(MIN(I41,$C43)/$E43,0)*$D43 + IF(I41&gt;$C43,ROUNDUP(MIN(I41-$C43,$C44-$C43)/$E44,0)*$D44,0) + IF(I41&gt;$C44,ROUNDUP(MIN(I41-$C44,$C45-$C44)/$E45,0)*$D45,0)</f>
        <v>0</v>
      </c>
      <c r="J42" s="5">
        <f t="shared" si="8"/>
        <v>0</v>
      </c>
      <c r="K42" s="5">
        <f t="shared" si="8"/>
        <v>0</v>
      </c>
      <c r="L42" s="5">
        <f t="shared" si="8"/>
        <v>0</v>
      </c>
    </row>
    <row r="43" spans="1:12" x14ac:dyDescent="0.2">
      <c r="A43" s="11" t="s">
        <v>61</v>
      </c>
      <c r="B43" s="12">
        <v>0</v>
      </c>
      <c r="C43" s="12">
        <v>10000000</v>
      </c>
      <c r="D43" s="11">
        <v>20</v>
      </c>
      <c r="E43" s="12">
        <v>200000</v>
      </c>
    </row>
    <row r="44" spans="1:12" x14ac:dyDescent="0.2">
      <c r="A44" s="11"/>
      <c r="B44" s="12">
        <f>C43+1</f>
        <v>10000001</v>
      </c>
      <c r="C44" s="12">
        <v>100000000</v>
      </c>
      <c r="D44" s="11">
        <v>4</v>
      </c>
      <c r="E44" s="12">
        <f>E43</f>
        <v>200000</v>
      </c>
    </row>
    <row r="45" spans="1:12" x14ac:dyDescent="0.2">
      <c r="A45" s="11"/>
      <c r="B45" s="12">
        <f>C44+1</f>
        <v>100000001</v>
      </c>
      <c r="C45" s="12">
        <v>999999999999999</v>
      </c>
      <c r="D45" s="11">
        <v>1</v>
      </c>
      <c r="E45" s="12">
        <f>E44</f>
        <v>200000</v>
      </c>
    </row>
    <row r="46" spans="1:12" x14ac:dyDescent="0.2">
      <c r="A46" s="11"/>
      <c r="B46" s="12"/>
      <c r="C46" s="12"/>
      <c r="D46" s="11"/>
      <c r="E46" s="12"/>
    </row>
    <row r="52" spans="1:12" x14ac:dyDescent="0.2">
      <c r="A52" s="16" t="s">
        <v>20</v>
      </c>
      <c r="B52" s="14" t="s">
        <v>56</v>
      </c>
      <c r="C52" s="14"/>
      <c r="D52" s="14"/>
      <c r="E52" s="14"/>
      <c r="G52" t="s">
        <v>57</v>
      </c>
      <c r="H52" s="5">
        <f>'What to buy '!C31</f>
        <v>0</v>
      </c>
      <c r="I52" s="5">
        <f>'What to buy '!D31</f>
        <v>0</v>
      </c>
      <c r="J52" s="5">
        <f>'What to buy '!E31</f>
        <v>0</v>
      </c>
      <c r="K52" s="5">
        <f>'What to buy '!F31</f>
        <v>0</v>
      </c>
      <c r="L52" s="5">
        <f>'What to buy '!G31</f>
        <v>0</v>
      </c>
    </row>
    <row r="53" spans="1:12" x14ac:dyDescent="0.2">
      <c r="A53" s="14"/>
      <c r="B53" s="14" t="s">
        <v>58</v>
      </c>
      <c r="C53" s="14" t="s">
        <v>59</v>
      </c>
      <c r="D53" s="14" t="s">
        <v>15</v>
      </c>
      <c r="E53" s="14" t="s">
        <v>60</v>
      </c>
      <c r="G53" t="s">
        <v>15</v>
      </c>
      <c r="H53" s="5">
        <f>ROUNDUP(MIN(H52,$C54)/$E54,0)*$D54 + IF(H52&gt;$C54,ROUNDUP(MIN(H52-$C54,$C55-$C54)/$E55,0)*$D55,0) + IF(H52&gt;$C55,ROUNDUP(MIN(H52-$C55,$C56-$C55)/$E56,0)*$D56,0)</f>
        <v>0</v>
      </c>
      <c r="I53" s="5">
        <f t="shared" ref="I53" si="9">ROUNDUP(MIN(I52,$C54)/$E54,0)*$D54 + IF(I52&gt;$C54,ROUNDUP(MIN(I52-$C54,$C55-$C54)/$E55,0)*$D55,0) + IF(I52&gt;$C55,ROUNDUP(MIN(I52-$C55,$C56-$C55)/$E56,0)*$D56,0)</f>
        <v>0</v>
      </c>
      <c r="J53" s="5">
        <f t="shared" ref="J53" si="10">ROUNDUP(MIN(J52,$C54)/$E54,0)*$D54 + IF(J52&gt;$C54,ROUNDUP(MIN(J52-$C54,$C55-$C54)/$E55,0)*$D55,0) + IF(J52&gt;$C55,ROUNDUP(MIN(J52-$C55,$C56-$C55)/$E56,0)*$D56,0)</f>
        <v>0</v>
      </c>
      <c r="K53" s="5">
        <f t="shared" ref="K53" si="11">ROUNDUP(MIN(K52,$C54)/$E54,0)*$D54 + IF(K52&gt;$C54,ROUNDUP(MIN(K52-$C54,$C55-$C54)/$E55,0)*$D55,0) + IF(K52&gt;$C55,ROUNDUP(MIN(K52-$C55,$C56-$C55)/$E56,0)*$D56,0)</f>
        <v>0</v>
      </c>
      <c r="L53" s="5">
        <f t="shared" ref="L53" si="12">ROUNDUP(MIN(L52,$C54)/$E54,0)*$D54 + IF(L52&gt;$C54,ROUNDUP(MIN(L52-$C54,$C55-$C54)/$E55,0)*$D55,0) + IF(L52&gt;$C55,ROUNDUP(MIN(L52-$C55,$C56-$C55)/$E56,0)*$D56,0)</f>
        <v>0</v>
      </c>
    </row>
    <row r="54" spans="1:12" x14ac:dyDescent="0.2">
      <c r="A54" s="14" t="s">
        <v>61</v>
      </c>
      <c r="B54" s="15">
        <v>0</v>
      </c>
      <c r="C54" s="15">
        <v>10000000</v>
      </c>
      <c r="D54" s="14">
        <v>20</v>
      </c>
      <c r="E54" s="15">
        <v>100000</v>
      </c>
    </row>
    <row r="55" spans="1:12" x14ac:dyDescent="0.2">
      <c r="A55" s="14"/>
      <c r="B55" s="15">
        <f>C54+1</f>
        <v>10000001</v>
      </c>
      <c r="C55" s="15">
        <v>100000000</v>
      </c>
      <c r="D55" s="14">
        <v>4</v>
      </c>
      <c r="E55" s="15">
        <f>E54</f>
        <v>100000</v>
      </c>
    </row>
    <row r="56" spans="1:12" x14ac:dyDescent="0.2">
      <c r="A56" s="14"/>
      <c r="B56" s="15">
        <f>C55+1</f>
        <v>100000001</v>
      </c>
      <c r="C56" s="15">
        <v>999999999999999</v>
      </c>
      <c r="D56" s="14">
        <v>1</v>
      </c>
      <c r="E56" s="15">
        <f>E55</f>
        <v>100000</v>
      </c>
    </row>
    <row r="57" spans="1:12" x14ac:dyDescent="0.2">
      <c r="A57" s="16" t="s">
        <v>65</v>
      </c>
      <c r="B57" s="14" t="s">
        <v>56</v>
      </c>
      <c r="C57" s="14"/>
      <c r="D57" s="14"/>
      <c r="E57" s="14"/>
      <c r="G57" t="s">
        <v>57</v>
      </c>
      <c r="H57" s="5">
        <f>'What to buy '!C33</f>
        <v>0</v>
      </c>
      <c r="I57" s="5">
        <f>'What to buy '!D33</f>
        <v>0</v>
      </c>
      <c r="J57" s="5">
        <f>'What to buy '!E33</f>
        <v>0</v>
      </c>
      <c r="K57" s="5">
        <f>'What to buy '!F33</f>
        <v>0</v>
      </c>
      <c r="L57" s="5">
        <f>'What to buy '!G33</f>
        <v>0</v>
      </c>
    </row>
    <row r="58" spans="1:12" x14ac:dyDescent="0.2">
      <c r="A58" s="14"/>
      <c r="B58" s="14" t="s">
        <v>58</v>
      </c>
      <c r="C58" s="14" t="s">
        <v>59</v>
      </c>
      <c r="D58" s="14" t="s">
        <v>15</v>
      </c>
      <c r="E58" s="14" t="s">
        <v>60</v>
      </c>
      <c r="G58" t="s">
        <v>15</v>
      </c>
      <c r="H58" s="5">
        <f>ROUNDUP(MIN(H57,$C59)/$E59,0)*$D59 + IF(H57&gt;$C59,ROUNDUP(MIN(H57-$C59,$C60-$C59)/$E60,0)*$D60,0) + IF(H57&gt;$C60,ROUNDUP(MIN(H57-$C60,$C61-$C60)/$E61,0)*$D61,0)</f>
        <v>0</v>
      </c>
      <c r="I58" s="5">
        <f t="shared" ref="I58:L58" si="13">ROUNDUP(MIN(I57,$C59)/$E59,0)*$D59 + IF(I57&gt;$C59,ROUNDUP(MIN(I57-$C59,$C60-$C59)/$E60,0)*$D60,0) + IF(I57&gt;$C60,ROUNDUP(MIN(I57-$C60,$C61-$C60)/$E61,0)*$D61,0)</f>
        <v>0</v>
      </c>
      <c r="J58" s="5">
        <f t="shared" si="13"/>
        <v>0</v>
      </c>
      <c r="K58" s="5">
        <f t="shared" si="13"/>
        <v>0</v>
      </c>
      <c r="L58" s="5">
        <f t="shared" si="13"/>
        <v>0</v>
      </c>
    </row>
    <row r="59" spans="1:12" x14ac:dyDescent="0.2">
      <c r="A59" s="14" t="s">
        <v>61</v>
      </c>
      <c r="B59" s="15">
        <v>0</v>
      </c>
      <c r="C59" s="15">
        <v>10000000</v>
      </c>
      <c r="D59" s="14">
        <v>20</v>
      </c>
      <c r="E59" s="15">
        <v>200000</v>
      </c>
    </row>
    <row r="60" spans="1:12" x14ac:dyDescent="0.2">
      <c r="A60" s="14"/>
      <c r="B60" s="15">
        <f>C59+1</f>
        <v>10000001</v>
      </c>
      <c r="C60" s="15">
        <v>100000000</v>
      </c>
      <c r="D60" s="14">
        <v>4</v>
      </c>
      <c r="E60" s="15">
        <f>E59</f>
        <v>200000</v>
      </c>
    </row>
    <row r="61" spans="1:12" x14ac:dyDescent="0.2">
      <c r="A61" s="14"/>
      <c r="B61" s="15">
        <f>C60+1</f>
        <v>100000001</v>
      </c>
      <c r="C61" s="15">
        <v>999999999999999</v>
      </c>
      <c r="D61" s="14">
        <v>1</v>
      </c>
      <c r="E61" s="15">
        <f>E60</f>
        <v>200000</v>
      </c>
    </row>
    <row r="62" spans="1:12" x14ac:dyDescent="0.2">
      <c r="A62" s="14"/>
      <c r="B62" s="15"/>
      <c r="C62" s="15"/>
      <c r="D62" s="14"/>
      <c r="E62" s="15"/>
    </row>
    <row r="64" spans="1:12" x14ac:dyDescent="0.2">
      <c r="A64" s="16" t="s">
        <v>20</v>
      </c>
      <c r="B64" s="14" t="s">
        <v>56</v>
      </c>
      <c r="C64" s="14"/>
      <c r="D64" s="14"/>
      <c r="E64" s="14"/>
      <c r="G64" t="s">
        <v>57</v>
      </c>
      <c r="H64" s="5">
        <f>'What to buy '!C36</f>
        <v>0</v>
      </c>
      <c r="I64" s="5">
        <f>'What to buy '!D36</f>
        <v>0</v>
      </c>
      <c r="J64" s="5">
        <f>'What to buy '!E36</f>
        <v>0</v>
      </c>
      <c r="K64" s="5">
        <f>'What to buy '!F36</f>
        <v>0</v>
      </c>
      <c r="L64" s="5">
        <f>'What to buy '!G36</f>
        <v>0</v>
      </c>
    </row>
    <row r="65" spans="1:12" x14ac:dyDescent="0.2">
      <c r="A65" s="14"/>
      <c r="B65" s="14" t="s">
        <v>58</v>
      </c>
      <c r="C65" s="14" t="s">
        <v>59</v>
      </c>
      <c r="D65" s="14" t="s">
        <v>15</v>
      </c>
      <c r="E65" s="14" t="s">
        <v>60</v>
      </c>
      <c r="G65" t="s">
        <v>15</v>
      </c>
      <c r="H65" s="5">
        <f>ROUNDUP(MIN(H64,$C66)/$E66,0)*$D66 + IF(H64&gt;$C66,ROUNDUP(MIN(H64-$C66,$C67-$C66)/$E67,0)*$D67,0) + IF(H64&gt;$C67,ROUNDUP(MIN(H64-$C67,$C68-$C67)/$E68,0)*$D68,0)</f>
        <v>0</v>
      </c>
      <c r="I65" s="5">
        <f t="shared" ref="I65:L65" si="14">ROUNDUP(MIN(I64,$C66)/$E66,0)*$D66 + IF(I64&gt;$C66,ROUNDUP(MIN(I64-$C66,$C67-$C66)/$E67,0)*$D67,0) + IF(I64&gt;$C67,ROUNDUP(MIN(I64-$C67,$C68-$C67)/$E68,0)*$D68,0)</f>
        <v>0</v>
      </c>
      <c r="J65" s="5">
        <f t="shared" si="14"/>
        <v>0</v>
      </c>
      <c r="K65" s="5">
        <f t="shared" si="14"/>
        <v>0</v>
      </c>
      <c r="L65" s="5">
        <f t="shared" si="14"/>
        <v>0</v>
      </c>
    </row>
    <row r="66" spans="1:12" x14ac:dyDescent="0.2">
      <c r="A66" s="14" t="s">
        <v>61</v>
      </c>
      <c r="B66" s="15">
        <v>0</v>
      </c>
      <c r="C66" s="15">
        <v>25000</v>
      </c>
      <c r="D66" s="14">
        <v>20</v>
      </c>
      <c r="E66" s="15">
        <v>25000</v>
      </c>
    </row>
    <row r="67" spans="1:12" x14ac:dyDescent="0.2">
      <c r="A67" s="14"/>
      <c r="B67" s="15">
        <f>C66+1</f>
        <v>25001</v>
      </c>
      <c r="C67" s="15">
        <v>10000000</v>
      </c>
      <c r="D67" s="14">
        <v>4</v>
      </c>
      <c r="E67" s="15">
        <f>E66</f>
        <v>25000</v>
      </c>
    </row>
    <row r="68" spans="1:12" x14ac:dyDescent="0.2">
      <c r="A68" s="14"/>
      <c r="B68" s="15">
        <f>C67+1</f>
        <v>10000001</v>
      </c>
      <c r="C68" s="15">
        <v>999999999999999</v>
      </c>
      <c r="D68" s="14">
        <v>1</v>
      </c>
      <c r="E68" s="15">
        <f>E67</f>
        <v>25000</v>
      </c>
    </row>
    <row r="69" spans="1:12" x14ac:dyDescent="0.2">
      <c r="A69" s="16" t="s">
        <v>65</v>
      </c>
      <c r="B69" s="14" t="s">
        <v>56</v>
      </c>
      <c r="C69" s="14"/>
      <c r="D69" s="14"/>
      <c r="E69" s="14"/>
      <c r="G69" t="s">
        <v>57</v>
      </c>
      <c r="H69" s="5">
        <f>'What to buy '!C38</f>
        <v>0</v>
      </c>
      <c r="I69" s="5">
        <f>'What to buy '!D38</f>
        <v>0</v>
      </c>
      <c r="J69" s="5">
        <f>'What to buy '!E38</f>
        <v>0</v>
      </c>
      <c r="K69" s="5">
        <f>'What to buy '!F38</f>
        <v>0</v>
      </c>
      <c r="L69" s="5">
        <f>'What to buy '!G38</f>
        <v>0</v>
      </c>
    </row>
    <row r="70" spans="1:12" x14ac:dyDescent="0.2">
      <c r="A70" s="14"/>
      <c r="B70" s="14" t="s">
        <v>58</v>
      </c>
      <c r="C70" s="14" t="s">
        <v>59</v>
      </c>
      <c r="D70" s="14" t="s">
        <v>15</v>
      </c>
      <c r="E70" s="14" t="s">
        <v>60</v>
      </c>
      <c r="G70" t="s">
        <v>15</v>
      </c>
      <c r="H70" s="5">
        <f>ROUNDUP(MIN(H69,$C71)/$E71,0)*$D71 + IF(H69&gt;$C71,ROUNDUP(MIN(H69-$C71,$C72-$C71)/$E72,0)*$D72,0) + IF(H69&gt;$C72,ROUNDUP(MIN(H69-$C72,$C73-$C72)/$E73,0)*$D73,0)</f>
        <v>0</v>
      </c>
      <c r="I70" s="5">
        <f t="shared" ref="I70:L70" si="15">ROUNDUP(MIN(I69,$C71)/$E71,0)*$D71 + IF(I69&gt;$C71,ROUNDUP(MIN(I69-$C71,$C72-$C71)/$E72,0)*$D72,0) + IF(I69&gt;$C72,ROUNDUP(MIN(I69-$C72,$C73-$C72)/$E73,0)*$D73,0)</f>
        <v>0</v>
      </c>
      <c r="J70" s="5">
        <f t="shared" si="15"/>
        <v>0</v>
      </c>
      <c r="K70" s="5">
        <f t="shared" si="15"/>
        <v>0</v>
      </c>
      <c r="L70" s="5">
        <f t="shared" si="15"/>
        <v>0</v>
      </c>
    </row>
    <row r="71" spans="1:12" x14ac:dyDescent="0.2">
      <c r="A71" s="14" t="s">
        <v>61</v>
      </c>
      <c r="B71" s="15">
        <v>0</v>
      </c>
      <c r="C71" s="15">
        <v>50000</v>
      </c>
      <c r="D71" s="14">
        <v>20</v>
      </c>
      <c r="E71" s="15">
        <v>50000</v>
      </c>
    </row>
    <row r="72" spans="1:12" x14ac:dyDescent="0.2">
      <c r="A72" s="14"/>
      <c r="B72" s="15">
        <f>C71+1</f>
        <v>50001</v>
      </c>
      <c r="C72" s="15">
        <v>10000000</v>
      </c>
      <c r="D72" s="14">
        <v>4</v>
      </c>
      <c r="E72" s="15">
        <f>E71</f>
        <v>50000</v>
      </c>
    </row>
    <row r="73" spans="1:12" x14ac:dyDescent="0.2">
      <c r="A73" s="14"/>
      <c r="B73" s="15">
        <f>C72+1</f>
        <v>10000001</v>
      </c>
      <c r="C73" s="15">
        <v>999999999999999</v>
      </c>
      <c r="D73" s="14">
        <v>1</v>
      </c>
      <c r="E73" s="15">
        <f>E72</f>
        <v>50000</v>
      </c>
    </row>
    <row r="74" spans="1:12" x14ac:dyDescent="0.2">
      <c r="A74" s="14"/>
      <c r="B74" s="15"/>
      <c r="C74" s="15"/>
      <c r="D74" s="14"/>
      <c r="E74" s="15"/>
    </row>
    <row r="79" spans="1:12" x14ac:dyDescent="0.2">
      <c r="A79" s="10" t="s">
        <v>22</v>
      </c>
      <c r="B79" s="3" t="s">
        <v>56</v>
      </c>
      <c r="C79" s="3"/>
      <c r="D79" s="3"/>
      <c r="E79" s="3"/>
      <c r="G79" t="s">
        <v>57</v>
      </c>
      <c r="H79" s="5">
        <f>'What to buy '!C43</f>
        <v>0</v>
      </c>
      <c r="I79" s="5">
        <f>'What to buy '!D43</f>
        <v>0</v>
      </c>
      <c r="J79" s="5">
        <f>'What to buy '!E43</f>
        <v>0</v>
      </c>
      <c r="K79" s="5">
        <f>'What to buy '!F43</f>
        <v>0</v>
      </c>
      <c r="L79" s="5">
        <f>'What to buy '!G43</f>
        <v>0</v>
      </c>
    </row>
    <row r="80" spans="1:12" x14ac:dyDescent="0.2">
      <c r="A80" s="3"/>
      <c r="B80" s="3" t="s">
        <v>58</v>
      </c>
      <c r="C80" s="3" t="s">
        <v>59</v>
      </c>
      <c r="D80" s="3" t="s">
        <v>15</v>
      </c>
      <c r="E80" s="3" t="s">
        <v>60</v>
      </c>
      <c r="G80" t="s">
        <v>15</v>
      </c>
      <c r="H80" s="5">
        <f>ROUNDUP(MIN(H79,$C81)/$E81,0)*$D81 + IF(H79&gt;$C81,ROUNDUP(MIN(H79-$C81,$C82-$C81)/$E82,0)*$D82,0) + IF(H79&gt;$C82,ROUNDUP(MIN(H79-$C82,$C83-$C82)/$E83,0)*$D83,0)</f>
        <v>0</v>
      </c>
      <c r="I80" s="5">
        <f t="shared" ref="I80" si="16">ROUNDUP(MIN(I79,$C81)/$E81,0)*$D81 + IF(I79&gt;$C81,ROUNDUP(MIN(I79-$C81,$C82-$C81)/$E82,0)*$D82,0) + IF(I79&gt;$C82,ROUNDUP(MIN(I79-$C82,$C83-$C82)/$E83,0)*$D83,0)</f>
        <v>0</v>
      </c>
      <c r="J80" s="5">
        <f t="shared" ref="J80" si="17">ROUNDUP(MIN(J79,$C81)/$E81,0)*$D81 + IF(J79&gt;$C81,ROUNDUP(MIN(J79-$C81,$C82-$C81)/$E82,0)*$D82,0) + IF(J79&gt;$C82,ROUNDUP(MIN(J79-$C82,$C83-$C82)/$E83,0)*$D83,0)</f>
        <v>0</v>
      </c>
      <c r="K80" s="5">
        <f t="shared" ref="K80" si="18">ROUNDUP(MIN(K79,$C81)/$E81,0)*$D81 + IF(K79&gt;$C81,ROUNDUP(MIN(K79-$C81,$C82-$C81)/$E82,0)*$D82,0) + IF(K79&gt;$C82,ROUNDUP(MIN(K79-$C82,$C83-$C82)/$E83,0)*$D83,0)</f>
        <v>0</v>
      </c>
      <c r="L80" s="5">
        <f t="shared" ref="L80" si="19">ROUNDUP(MIN(L79,$C81)/$E81,0)*$D81 + IF(L79&gt;$C81,ROUNDUP(MIN(L79-$C81,$C82-$C81)/$E82,0)*$D82,0) + IF(L79&gt;$C82,ROUNDUP(MIN(L79-$C82,$C83-$C82)/$E83,0)*$D83,0)</f>
        <v>0</v>
      </c>
    </row>
    <row r="81" spans="1:12" x14ac:dyDescent="0.2">
      <c r="A81" s="3" t="s">
        <v>61</v>
      </c>
      <c r="B81" s="9">
        <v>0</v>
      </c>
      <c r="C81" s="9">
        <v>100000000</v>
      </c>
      <c r="D81" s="3">
        <v>60</v>
      </c>
      <c r="E81" s="9">
        <v>1000000</v>
      </c>
    </row>
    <row r="82" spans="1:12" x14ac:dyDescent="0.2">
      <c r="A82" s="3"/>
      <c r="B82" s="9">
        <f>C81+1</f>
        <v>100000001</v>
      </c>
      <c r="C82" s="9">
        <v>1000000000</v>
      </c>
      <c r="D82" s="3">
        <v>25</v>
      </c>
      <c r="E82" s="9">
        <f>E81</f>
        <v>1000000</v>
      </c>
    </row>
    <row r="83" spans="1:12" x14ac:dyDescent="0.2">
      <c r="A83" s="3"/>
      <c r="B83" s="9">
        <f>C82+1</f>
        <v>1000000001</v>
      </c>
      <c r="C83" s="9">
        <v>999999999999999</v>
      </c>
      <c r="D83" s="3">
        <v>15</v>
      </c>
      <c r="E83" s="9">
        <f>E82</f>
        <v>1000000</v>
      </c>
    </row>
    <row r="84" spans="1:12" x14ac:dyDescent="0.2">
      <c r="A84" s="10" t="s">
        <v>66</v>
      </c>
      <c r="B84" s="3" t="s">
        <v>56</v>
      </c>
      <c r="C84" s="3"/>
      <c r="D84" s="3"/>
      <c r="E84" s="3"/>
      <c r="G84" t="s">
        <v>57</v>
      </c>
      <c r="H84" s="5">
        <f>'What to buy '!C45</f>
        <v>0</v>
      </c>
      <c r="I84" s="5">
        <f>'What to buy '!D45</f>
        <v>0</v>
      </c>
      <c r="J84" s="5">
        <f>'What to buy '!E45</f>
        <v>0</v>
      </c>
      <c r="K84" s="5">
        <f>'What to buy '!F45</f>
        <v>0</v>
      </c>
      <c r="L84" s="5">
        <f>'What to buy '!G45</f>
        <v>0</v>
      </c>
    </row>
    <row r="85" spans="1:12" x14ac:dyDescent="0.2">
      <c r="A85" s="3"/>
      <c r="B85" s="3" t="s">
        <v>58</v>
      </c>
      <c r="C85" s="3" t="s">
        <v>59</v>
      </c>
      <c r="D85" s="3" t="s">
        <v>15</v>
      </c>
      <c r="E85" s="3" t="s">
        <v>60</v>
      </c>
      <c r="G85" t="s">
        <v>15</v>
      </c>
      <c r="H85" s="5">
        <f>ROUNDUP(MIN(H84,$C86)/$E86,0)*$D86 + IF(H84&gt;$C86,ROUNDUP(MIN(H84-$C86,$C87-$C86)/$E87,0)*$D87,0) + IF(H84&gt;$C87,ROUNDUP(MIN(H84-$C87,$C88-$C87)/$E88,0)*$D88,0)</f>
        <v>0</v>
      </c>
      <c r="I85" s="5">
        <f t="shared" ref="I85:L85" si="20">ROUNDUP(MIN(I84,$C86)/$E86,0)*$D86 + IF(I84&gt;$C86,ROUNDUP(MIN(I84-$C86,$C87-$C86)/$E87,0)*$D87,0) + IF(I84&gt;$C87,ROUNDUP(MIN(I84-$C87,$C88-$C87)/$E88,0)*$D88,0)</f>
        <v>0</v>
      </c>
      <c r="J85" s="5">
        <f t="shared" si="20"/>
        <v>0</v>
      </c>
      <c r="K85" s="5">
        <f t="shared" si="20"/>
        <v>0</v>
      </c>
      <c r="L85" s="5">
        <f t="shared" si="20"/>
        <v>0</v>
      </c>
    </row>
    <row r="86" spans="1:12" x14ac:dyDescent="0.2">
      <c r="A86" s="3" t="s">
        <v>61</v>
      </c>
      <c r="B86" s="9">
        <v>0</v>
      </c>
      <c r="C86" s="9">
        <v>100000000</v>
      </c>
      <c r="D86" s="3">
        <v>60</v>
      </c>
      <c r="E86" s="9">
        <v>2000000</v>
      </c>
    </row>
    <row r="87" spans="1:12" x14ac:dyDescent="0.2">
      <c r="A87" s="3"/>
      <c r="B87" s="9">
        <f>C86+1</f>
        <v>100000001</v>
      </c>
      <c r="C87" s="9">
        <v>1000000000</v>
      </c>
      <c r="D87" s="3">
        <v>25</v>
      </c>
      <c r="E87" s="9">
        <f>E86</f>
        <v>2000000</v>
      </c>
    </row>
    <row r="88" spans="1:12" x14ac:dyDescent="0.2">
      <c r="A88" s="3"/>
      <c r="B88" s="9">
        <f>C87+1</f>
        <v>1000000001</v>
      </c>
      <c r="C88" s="9">
        <v>999999999999999</v>
      </c>
      <c r="D88" s="3">
        <v>15</v>
      </c>
      <c r="E88" s="9">
        <f>E87</f>
        <v>2000000</v>
      </c>
    </row>
    <row r="89" spans="1:12" x14ac:dyDescent="0.2">
      <c r="A89" s="3"/>
      <c r="B89" s="9"/>
      <c r="C89" s="9"/>
      <c r="D89" s="3"/>
      <c r="E89" s="9"/>
    </row>
    <row r="95" spans="1:12" x14ac:dyDescent="0.2">
      <c r="A95" s="35" t="s">
        <v>24</v>
      </c>
      <c r="B95" s="33" t="s">
        <v>56</v>
      </c>
      <c r="C95" s="33"/>
      <c r="D95" s="33"/>
      <c r="E95" s="33"/>
      <c r="G95" t="s">
        <v>57</v>
      </c>
      <c r="H95" s="5">
        <f>'What to buy '!C51</f>
        <v>0</v>
      </c>
      <c r="I95" s="5">
        <f>'What to buy '!D51</f>
        <v>0</v>
      </c>
      <c r="J95" s="5">
        <f>'What to buy '!E51</f>
        <v>0</v>
      </c>
      <c r="K95" s="5">
        <f>'What to buy '!F51</f>
        <v>0</v>
      </c>
      <c r="L95" s="5">
        <f>'What to buy '!G51</f>
        <v>0</v>
      </c>
    </row>
    <row r="96" spans="1:12" x14ac:dyDescent="0.2">
      <c r="A96" s="33"/>
      <c r="B96" s="33" t="s">
        <v>58</v>
      </c>
      <c r="C96" s="33" t="s">
        <v>59</v>
      </c>
      <c r="D96" s="33" t="s">
        <v>15</v>
      </c>
      <c r="E96" s="33" t="s">
        <v>60</v>
      </c>
      <c r="G96" t="s">
        <v>15</v>
      </c>
      <c r="H96" s="5">
        <f>ROUNDUP(MIN(H95,$C97)/$E97,0)*$D97 + IF(H95&gt;$C97,ROUNDUP(MIN(H95-$C97,$C98-$C97)/$E98,0)*$D98,0) + IF(H95&gt;$C98,ROUNDUP(MIN(H95-$C98,$C99-$C98)/$E99,0)*$D99,0)</f>
        <v>0</v>
      </c>
      <c r="I96" s="5">
        <f t="shared" ref="I96" si="21">ROUNDUP(MIN(I95,$C97)/$E97,0)*$D97 + IF(I95&gt;$C97,ROUNDUP(MIN(I95-$C97,$C98-$C97)/$E98,0)*$D98,0) + IF(I95&gt;$C98,ROUNDUP(MIN(I95-$C98,$C99-$C98)/$E99,0)*$D99,0)</f>
        <v>0</v>
      </c>
      <c r="J96" s="5">
        <f t="shared" ref="J96" si="22">ROUNDUP(MIN(J95,$C97)/$E97,0)*$D97 + IF(J95&gt;$C97,ROUNDUP(MIN(J95-$C97,$C98-$C97)/$E98,0)*$D98,0) + IF(J95&gt;$C98,ROUNDUP(MIN(J95-$C98,$C99-$C98)/$E99,0)*$D99,0)</f>
        <v>0</v>
      </c>
      <c r="K96" s="5">
        <f t="shared" ref="K96" si="23">ROUNDUP(MIN(K95,$C97)/$E97,0)*$D97 + IF(K95&gt;$C97,ROUNDUP(MIN(K95-$C97,$C98-$C97)/$E98,0)*$D98,0) + IF(K95&gt;$C98,ROUNDUP(MIN(K95-$C98,$C99-$C98)/$E99,0)*$D99,0)</f>
        <v>0</v>
      </c>
      <c r="L96" s="5">
        <f t="shared" ref="L96" si="24">ROUNDUP(MIN(L95,$C97)/$E97,0)*$D97 + IF(L95&gt;$C97,ROUNDUP(MIN(L95-$C97,$C98-$C97)/$E98,0)*$D98,0) + IF(L95&gt;$C98,ROUNDUP(MIN(L95-$C98,$C99-$C98)/$E99,0)*$D99,0)</f>
        <v>0</v>
      </c>
    </row>
    <row r="97" spans="1:5" x14ac:dyDescent="0.2">
      <c r="A97" s="33" t="s">
        <v>61</v>
      </c>
      <c r="B97" s="34">
        <v>0</v>
      </c>
      <c r="C97" s="34">
        <v>100000000</v>
      </c>
      <c r="D97" s="33">
        <v>20</v>
      </c>
      <c r="E97" s="34">
        <v>1000000</v>
      </c>
    </row>
    <row r="98" spans="1:5" x14ac:dyDescent="0.2">
      <c r="A98" s="33"/>
      <c r="B98" s="34">
        <f>C97+1</f>
        <v>100000001</v>
      </c>
      <c r="C98" s="34">
        <v>1000000000</v>
      </c>
      <c r="D98" s="33">
        <v>3</v>
      </c>
      <c r="E98" s="34">
        <f>E97</f>
        <v>1000000</v>
      </c>
    </row>
    <row r="99" spans="1:5" x14ac:dyDescent="0.2">
      <c r="A99" s="33"/>
      <c r="B99" s="34">
        <f>C98+1</f>
        <v>1000000001</v>
      </c>
      <c r="C99" s="34">
        <v>999999999999999</v>
      </c>
      <c r="D99" s="33">
        <v>2</v>
      </c>
      <c r="E99" s="34">
        <f>E98</f>
        <v>1000000</v>
      </c>
    </row>
    <row r="100" spans="1:5" x14ac:dyDescent="0.2">
      <c r="A100" s="33" t="s">
        <v>72</v>
      </c>
      <c r="B100" s="33"/>
      <c r="C100" s="33"/>
      <c r="D100" s="33">
        <v>12</v>
      </c>
      <c r="E100" s="33" t="s">
        <v>67</v>
      </c>
    </row>
    <row r="101" spans="1:5" x14ac:dyDescent="0.2">
      <c r="A101" s="33" t="s">
        <v>73</v>
      </c>
      <c r="B101" s="33"/>
      <c r="C101" s="33"/>
      <c r="D101" s="33">
        <v>12</v>
      </c>
      <c r="E101" s="33" t="s">
        <v>67</v>
      </c>
    </row>
  </sheetData>
  <sheetProtection algorithmName="SHA-512" hashValue="56HutyCfqGyoMVKSy+bv8B6G+eKxRLSEdQMhVmTWocxVHCj/sZOvo2bf0kuGnyAsUwgDk0bTLn6EREm0nIB0gg==" saltValue="Xclp2h+95xsNiLjxjOnt+Q==" spinCount="100000" sheet="1" objects="1" scenarios="1"/>
  <phoneticPr fontId="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371FCB5C635849B49F7D9856A92D45" ma:contentTypeVersion="14" ma:contentTypeDescription="Create a new document." ma:contentTypeScope="" ma:versionID="d83b13e9c5172faa3b9527aa9093e404">
  <xsd:schema xmlns:xsd="http://www.w3.org/2001/XMLSchema" xmlns:xs="http://www.w3.org/2001/XMLSchema" xmlns:p="http://schemas.microsoft.com/office/2006/metadata/properties" xmlns:ns2="fbfa2de3-d560-49c4-aba4-7843de670fcc" xmlns:ns3="a417c089-58f9-480a-aff6-6556245e27fa" targetNamespace="http://schemas.microsoft.com/office/2006/metadata/properties" ma:root="true" ma:fieldsID="6ab8c2d5804fd8ad79009a04ccbe6f54" ns2:_="" ns3:_="">
    <xsd:import namespace="fbfa2de3-d560-49c4-aba4-7843de670fcc"/>
    <xsd:import namespace="a417c089-58f9-480a-aff6-6556245e27f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fa2de3-d560-49c4-aba4-7843de670f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19edae7-b79a-4a5e-b725-af92424e056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17c089-58f9-480a-aff6-6556245e27f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c42fe4f-a32f-4cdd-807d-6a3aacaf8d10}" ma:internalName="TaxCatchAll" ma:showField="CatchAllData" ma:web="a417c089-58f9-480a-aff6-6556245e27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bfa2de3-d560-49c4-aba4-7843de670fcc">
      <Terms xmlns="http://schemas.microsoft.com/office/infopath/2007/PartnerControls"/>
    </lcf76f155ced4ddcb4097134ff3c332f>
    <TaxCatchAll xmlns="a417c089-58f9-480a-aff6-6556245e27f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96C406-BDAC-4F61-8CA0-ABD030BF5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fa2de3-d560-49c4-aba4-7843de670fcc"/>
    <ds:schemaRef ds:uri="a417c089-58f9-480a-aff6-6556245e27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E47193-B72C-4843-9337-3D427541E298}">
  <ds:schemaRefs>
    <ds:schemaRef ds:uri="http://purl.org/dc/dcmitype/"/>
    <ds:schemaRef ds:uri="http://schemas.microsoft.com/office/2006/documentManagement/types"/>
    <ds:schemaRef ds:uri="http://purl.org/dc/terms/"/>
    <ds:schemaRef ds:uri="http://schemas.microsoft.com/office/infopath/2007/PartnerControls"/>
    <ds:schemaRef ds:uri="http://purl.org/dc/elements/1.1/"/>
    <ds:schemaRef ds:uri="http://www.w3.org/XML/1998/namespace"/>
    <ds:schemaRef ds:uri="http://schemas.openxmlformats.org/package/2006/metadata/core-properties"/>
    <ds:schemaRef ds:uri="a417c089-58f9-480a-aff6-6556245e27fa"/>
    <ds:schemaRef ds:uri="fbfa2de3-d560-49c4-aba4-7843de670fcc"/>
    <ds:schemaRef ds:uri="http://schemas.microsoft.com/office/2006/metadata/properties"/>
  </ds:schemaRefs>
</ds:datastoreItem>
</file>

<file path=customXml/itemProps3.xml><?xml version="1.0" encoding="utf-8"?>
<ds:datastoreItem xmlns:ds="http://schemas.openxmlformats.org/officeDocument/2006/customXml" ds:itemID="{C115E456-EB11-4790-86ED-2489AA3BAD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What to buy </vt:lpstr>
      <vt:lpstr>Metric definitions</vt:lpstr>
      <vt:lpstr>Master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Heywood</dc:creator>
  <cp:keywords/>
  <dc:description/>
  <cp:lastModifiedBy>Mrinal Handa</cp:lastModifiedBy>
  <cp:revision/>
  <dcterms:created xsi:type="dcterms:W3CDTF">2024-12-20T08:08:07Z</dcterms:created>
  <dcterms:modified xsi:type="dcterms:W3CDTF">2026-07-02T08:12:02Z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0x010100A4371FCB5C635849B49F7D9856A92D45</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_activity">
    <vt:lpwstr>{"FileActivityType":"9","FileActivityTimeStamp":"2025-01-13T07:06:59.660Z","FileActivityUsersOnPage":[{"DisplayName":"Jonathan Heywood","Id":"jonathan.heywood@ibm.com"}],"FileActivityNavigationId":null}</vt:lpwstr>
  </property>
  <property fmtid="{D5CDD505-2E9C-101B-9397-08002B2CF9AE}" pid="8" name="TriggerFlowInfo">
    <vt:lpwstr/>
  </property>
  <property fmtid="{D5CDD505-2E9C-101B-9397-08002B2CF9AE}" pid="9" name="MediaServiceImageTags">
    <vt:lpwstr/>
  </property>
</Properties>
</file>