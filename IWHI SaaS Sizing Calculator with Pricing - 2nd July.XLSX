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bm.sharepoint.com/sites/OP-IBMiPaaSProductDevelopment/Shared Documents/Project Pembroke Workstreams/Parts and Pricing/Calculators/Sizing calculators/SaaS/"/>
    </mc:Choice>
  </mc:AlternateContent>
  <xr:revisionPtr revIDLastSave="21" documentId="8_{D2F1F1D8-E5D9-FD4A-AED6-EB0F89C136D7}" xr6:coauthVersionLast="47" xr6:coauthVersionMax="47" xr10:uidLastSave="{E79EC457-4BE4-884F-87A9-2A9918358839}"/>
  <workbookProtection workbookAlgorithmName="SHA-512" workbookHashValue="VS9VcvdUVREFNeCQ9JnwBTXa2UbejdFi9cC+jvOM1a7Oa+iswSrPP0hucK8dN0HlwiFPlTZ+psVri/EN+mNJxw==" workbookSaltValue="ZLOjq/mPQpb50KT/H+e15Q==" workbookSpinCount="100000" lockStructure="1"/>
  <bookViews>
    <workbookView xWindow="0" yWindow="880" windowWidth="36000" windowHeight="21080" xr2:uid="{A78FE673-11A3-BF4A-A99E-101DA8320B87}"/>
  </bookViews>
  <sheets>
    <sheet name="What to buy " sheetId="1" r:id="rId1"/>
    <sheet name="Master data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7" i="1" l="1"/>
  <c r="E107" i="1"/>
  <c r="F107" i="1"/>
  <c r="G107" i="1"/>
  <c r="C107" i="1"/>
  <c r="C41" i="1"/>
  <c r="H128" i="3"/>
  <c r="H129" i="3" s="1"/>
  <c r="I133" i="3"/>
  <c r="J133" i="3"/>
  <c r="J134" i="3" s="1"/>
  <c r="K133" i="3"/>
  <c r="K134" i="3" s="1"/>
  <c r="F103" i="1" s="1"/>
  <c r="L133" i="3"/>
  <c r="L134" i="3" s="1"/>
  <c r="I128" i="3"/>
  <c r="J128" i="3"/>
  <c r="J129" i="3" s="1"/>
  <c r="K128" i="3"/>
  <c r="K129" i="3" s="1"/>
  <c r="L128" i="3"/>
  <c r="H133" i="3"/>
  <c r="H134" i="3" s="1"/>
  <c r="I134" i="3"/>
  <c r="L129" i="3"/>
  <c r="I129" i="3"/>
  <c r="D103" i="1" s="1"/>
  <c r="E137" i="3"/>
  <c r="B137" i="3"/>
  <c r="E132" i="3"/>
  <c r="B132" i="3"/>
  <c r="C102" i="1"/>
  <c r="G102" i="1"/>
  <c r="F102" i="1"/>
  <c r="E102" i="1"/>
  <c r="D102" i="1"/>
  <c r="G100" i="1"/>
  <c r="F100" i="1"/>
  <c r="E100" i="1"/>
  <c r="D100" i="1"/>
  <c r="C15" i="1"/>
  <c r="C28" i="1"/>
  <c r="H26" i="3" s="1"/>
  <c r="H27" i="3" s="1"/>
  <c r="H41" i="3"/>
  <c r="H42" i="3" s="1"/>
  <c r="C45" i="1"/>
  <c r="H53" i="3" s="1"/>
  <c r="H54" i="3" s="1"/>
  <c r="H90" i="3"/>
  <c r="H91" i="3" s="1"/>
  <c r="C91" i="1" s="1"/>
  <c r="I117" i="3"/>
  <c r="J117" i="3"/>
  <c r="K117" i="3"/>
  <c r="L117" i="3"/>
  <c r="I118" i="3"/>
  <c r="J118" i="3"/>
  <c r="K118" i="3"/>
  <c r="L118" i="3"/>
  <c r="I119" i="3"/>
  <c r="J119" i="3"/>
  <c r="K119" i="3"/>
  <c r="L119" i="3"/>
  <c r="I120" i="3"/>
  <c r="J120" i="3"/>
  <c r="K120" i="3"/>
  <c r="L120" i="3"/>
  <c r="I121" i="3"/>
  <c r="J121" i="3"/>
  <c r="K121" i="3"/>
  <c r="L121" i="3"/>
  <c r="I116" i="3"/>
  <c r="H120" i="3"/>
  <c r="H119" i="3"/>
  <c r="H116" i="3"/>
  <c r="H117" i="3"/>
  <c r="H118" i="3"/>
  <c r="H112" i="3"/>
  <c r="H110" i="3"/>
  <c r="J116" i="3"/>
  <c r="K116" i="3"/>
  <c r="L116" i="3"/>
  <c r="C72" i="1"/>
  <c r="H77" i="3"/>
  <c r="H78" i="3"/>
  <c r="H82" i="3"/>
  <c r="H83" i="3" s="1"/>
  <c r="H62" i="3"/>
  <c r="H63" i="3" s="1"/>
  <c r="H67" i="3"/>
  <c r="H68" i="3" s="1"/>
  <c r="H21" i="3"/>
  <c r="H22" i="3" s="1"/>
  <c r="H36" i="3"/>
  <c r="H37" i="3" s="1"/>
  <c r="H48" i="3"/>
  <c r="H49" i="3" s="1"/>
  <c r="H121" i="3"/>
  <c r="I110" i="3"/>
  <c r="J110" i="3"/>
  <c r="K110" i="3"/>
  <c r="L110" i="3"/>
  <c r="I111" i="3"/>
  <c r="J111" i="3"/>
  <c r="K111" i="3"/>
  <c r="L111" i="3"/>
  <c r="I112" i="3"/>
  <c r="J112" i="3"/>
  <c r="K112" i="3"/>
  <c r="L112" i="3"/>
  <c r="H111" i="3"/>
  <c r="I102" i="3"/>
  <c r="I103" i="3" s="1"/>
  <c r="J102" i="3"/>
  <c r="J103" i="3" s="1"/>
  <c r="K102" i="3"/>
  <c r="K103" i="3" s="1"/>
  <c r="L102" i="3"/>
  <c r="L103" i="3" s="1"/>
  <c r="I97" i="3"/>
  <c r="I98" i="3" s="1"/>
  <c r="J97" i="3"/>
  <c r="J98" i="3" s="1"/>
  <c r="K97" i="3"/>
  <c r="K98" i="3" s="1"/>
  <c r="L97" i="3"/>
  <c r="L98" i="3" s="1"/>
  <c r="I90" i="3"/>
  <c r="I91" i="3" s="1"/>
  <c r="D91" i="1" s="1"/>
  <c r="J90" i="3"/>
  <c r="J91" i="3" s="1"/>
  <c r="E91" i="1" s="1"/>
  <c r="K90" i="3"/>
  <c r="K91" i="3" s="1"/>
  <c r="F91" i="1" s="1"/>
  <c r="L90" i="3"/>
  <c r="L91" i="3" s="1"/>
  <c r="G91" i="1" s="1"/>
  <c r="I82" i="3"/>
  <c r="I83" i="3" s="1"/>
  <c r="J82" i="3"/>
  <c r="J83" i="3" s="1"/>
  <c r="K82" i="3"/>
  <c r="K83" i="3" s="1"/>
  <c r="L82" i="3"/>
  <c r="L83" i="3" s="1"/>
  <c r="I77" i="3"/>
  <c r="I78" i="3" s="1"/>
  <c r="J77" i="3"/>
  <c r="J78" i="3" s="1"/>
  <c r="K77" i="3"/>
  <c r="K78" i="3" s="1"/>
  <c r="L77" i="3"/>
  <c r="L78" i="3" s="1"/>
  <c r="I67" i="3"/>
  <c r="I68" i="3" s="1"/>
  <c r="J67" i="3"/>
  <c r="J68" i="3" s="1"/>
  <c r="K67" i="3"/>
  <c r="K68" i="3" s="1"/>
  <c r="L67" i="3"/>
  <c r="L68" i="3" s="1"/>
  <c r="I62" i="3"/>
  <c r="I63" i="3" s="1"/>
  <c r="J62" i="3"/>
  <c r="J63" i="3" s="1"/>
  <c r="K62" i="3"/>
  <c r="K63" i="3" s="1"/>
  <c r="L62" i="3"/>
  <c r="L63" i="3" s="1"/>
  <c r="I53" i="3"/>
  <c r="I54" i="3" s="1"/>
  <c r="J53" i="3"/>
  <c r="J54" i="3" s="1"/>
  <c r="K53" i="3"/>
  <c r="K54" i="3" s="1"/>
  <c r="L53" i="3"/>
  <c r="L54" i="3" s="1"/>
  <c r="I48" i="3"/>
  <c r="I49" i="3" s="1"/>
  <c r="J48" i="3"/>
  <c r="J49" i="3" s="1"/>
  <c r="K48" i="3"/>
  <c r="K49" i="3" s="1"/>
  <c r="L48" i="3"/>
  <c r="L49" i="3" s="1"/>
  <c r="I41" i="3"/>
  <c r="I42" i="3" s="1"/>
  <c r="J41" i="3"/>
  <c r="J42" i="3" s="1"/>
  <c r="K41" i="3"/>
  <c r="K42" i="3" s="1"/>
  <c r="L41" i="3"/>
  <c r="L42" i="3" s="1"/>
  <c r="I36" i="3"/>
  <c r="I37" i="3" s="1"/>
  <c r="J36" i="3"/>
  <c r="J37" i="3" s="1"/>
  <c r="K36" i="3"/>
  <c r="K37" i="3" s="1"/>
  <c r="L36" i="3"/>
  <c r="L37" i="3" s="1"/>
  <c r="K26" i="3"/>
  <c r="K27" i="3" s="1"/>
  <c r="L26" i="3"/>
  <c r="L27" i="3" s="1"/>
  <c r="I21" i="3"/>
  <c r="I22" i="3" s="1"/>
  <c r="J21" i="3"/>
  <c r="J22" i="3" s="1"/>
  <c r="K21" i="3"/>
  <c r="K22" i="3" s="1"/>
  <c r="L21" i="3"/>
  <c r="L22" i="3" s="1"/>
  <c r="I10" i="3"/>
  <c r="I11" i="3" s="1"/>
  <c r="J10" i="3"/>
  <c r="J11" i="3" s="1"/>
  <c r="K10" i="3"/>
  <c r="K11" i="3" s="1"/>
  <c r="L10" i="3"/>
  <c r="L11" i="3" s="1"/>
  <c r="I4" i="3"/>
  <c r="I5" i="3" s="1"/>
  <c r="J4" i="3"/>
  <c r="J5" i="3" s="1"/>
  <c r="K4" i="3"/>
  <c r="K5" i="3" s="1"/>
  <c r="L4" i="3"/>
  <c r="L5" i="3" s="1"/>
  <c r="E106" i="3"/>
  <c r="B106" i="3"/>
  <c r="E101" i="3"/>
  <c r="B101" i="3"/>
  <c r="B94" i="3"/>
  <c r="E86" i="3"/>
  <c r="B86" i="3"/>
  <c r="E81" i="3"/>
  <c r="B81" i="3"/>
  <c r="E71" i="3"/>
  <c r="B71" i="3"/>
  <c r="E66" i="3"/>
  <c r="B66" i="3"/>
  <c r="E57" i="3"/>
  <c r="B57" i="3"/>
  <c r="E52" i="3"/>
  <c r="B52" i="3"/>
  <c r="E45" i="3"/>
  <c r="B45" i="3"/>
  <c r="E40" i="3"/>
  <c r="B40" i="3"/>
  <c r="E30" i="3"/>
  <c r="B30" i="3"/>
  <c r="E25" i="3"/>
  <c r="B25" i="3"/>
  <c r="E15" i="3"/>
  <c r="B15" i="3"/>
  <c r="E9" i="3"/>
  <c r="B9" i="3"/>
  <c r="G85" i="1"/>
  <c r="F85" i="1"/>
  <c r="E85" i="1"/>
  <c r="D85" i="1"/>
  <c r="G83" i="1"/>
  <c r="F83" i="1"/>
  <c r="E83" i="1"/>
  <c r="D83" i="1"/>
  <c r="C70" i="1"/>
  <c r="E28" i="1"/>
  <c r="E29" i="1" s="1"/>
  <c r="D28" i="1"/>
  <c r="I26" i="3" s="1"/>
  <c r="I27" i="3" s="1"/>
  <c r="G46" i="1"/>
  <c r="F46" i="1"/>
  <c r="E46" i="1"/>
  <c r="D46" i="1"/>
  <c r="G44" i="1"/>
  <c r="F44" i="1"/>
  <c r="E44" i="1"/>
  <c r="D44" i="1"/>
  <c r="C44" i="1"/>
  <c r="G72" i="1"/>
  <c r="F72" i="1"/>
  <c r="E72" i="1"/>
  <c r="D72" i="1"/>
  <c r="G59" i="1"/>
  <c r="F59" i="1"/>
  <c r="E59" i="1"/>
  <c r="D59" i="1"/>
  <c r="C59" i="1"/>
  <c r="G42" i="1"/>
  <c r="F42" i="1"/>
  <c r="E42" i="1"/>
  <c r="D42" i="1"/>
  <c r="G29" i="1"/>
  <c r="F29" i="1"/>
  <c r="G70" i="1"/>
  <c r="F70" i="1"/>
  <c r="E70" i="1"/>
  <c r="D70" i="1"/>
  <c r="G57" i="1"/>
  <c r="F57" i="1"/>
  <c r="E57" i="1"/>
  <c r="D57" i="1"/>
  <c r="C57" i="1"/>
  <c r="G40" i="1"/>
  <c r="F40" i="1"/>
  <c r="E40" i="1"/>
  <c r="D40" i="1"/>
  <c r="C40" i="1"/>
  <c r="G27" i="1"/>
  <c r="F27" i="1"/>
  <c r="E27" i="1"/>
  <c r="D27" i="1"/>
  <c r="C27" i="1"/>
  <c r="G16" i="1"/>
  <c r="F16" i="1"/>
  <c r="E16" i="1"/>
  <c r="D16" i="1"/>
  <c r="G14" i="1"/>
  <c r="F14" i="1"/>
  <c r="E14" i="1"/>
  <c r="D14" i="1"/>
  <c r="C29" i="1"/>
  <c r="G112" i="1"/>
  <c r="G114" i="1" s="1"/>
  <c r="E112" i="1"/>
  <c r="E114" i="1" s="1"/>
  <c r="C112" i="1"/>
  <c r="C114" i="1" s="1"/>
  <c r="F112" i="1"/>
  <c r="F114" i="1" s="1"/>
  <c r="D112" i="1"/>
  <c r="D114" i="1" s="1"/>
  <c r="G103" i="1" l="1"/>
  <c r="C103" i="1"/>
  <c r="E103" i="1"/>
  <c r="C46" i="1"/>
  <c r="C42" i="1"/>
  <c r="C100" i="1"/>
  <c r="J26" i="3"/>
  <c r="J27" i="3" s="1"/>
  <c r="H113" i="3"/>
  <c r="H114" i="3" s="1"/>
  <c r="E73" i="1"/>
  <c r="E86" i="1"/>
  <c r="E47" i="1"/>
  <c r="F73" i="1"/>
  <c r="J113" i="3"/>
  <c r="J114" i="3" s="1"/>
  <c r="I113" i="3"/>
  <c r="I114" i="3" s="1"/>
  <c r="H123" i="3"/>
  <c r="H124" i="3" s="1"/>
  <c r="H125" i="3" s="1"/>
  <c r="C95" i="1" s="1"/>
  <c r="F47" i="1"/>
  <c r="F30" i="1"/>
  <c r="G86" i="1"/>
  <c r="H102" i="3"/>
  <c r="H103" i="3" s="1"/>
  <c r="C85" i="1"/>
  <c r="D47" i="1"/>
  <c r="E17" i="1"/>
  <c r="D29" i="1"/>
  <c r="D17" i="1"/>
  <c r="G73" i="1"/>
  <c r="H97" i="3"/>
  <c r="H98" i="3" s="1"/>
  <c r="C83" i="1"/>
  <c r="D73" i="1"/>
  <c r="F86" i="1"/>
  <c r="L113" i="3"/>
  <c r="L114" i="3" s="1"/>
  <c r="F17" i="1"/>
  <c r="C14" i="1"/>
  <c r="E30" i="1"/>
  <c r="K113" i="3"/>
  <c r="K114" i="3" s="1"/>
  <c r="G47" i="1"/>
  <c r="D86" i="1"/>
  <c r="G30" i="1"/>
  <c r="G60" i="1"/>
  <c r="C16" i="1"/>
  <c r="H10" i="3"/>
  <c r="H11" i="3" s="1"/>
  <c r="F60" i="1"/>
  <c r="C47" i="1"/>
  <c r="C30" i="1"/>
  <c r="H4" i="3"/>
  <c r="H5" i="3" s="1"/>
  <c r="G17" i="1"/>
  <c r="C60" i="1"/>
  <c r="D60" i="1"/>
  <c r="E60" i="1"/>
  <c r="D30" i="1"/>
  <c r="C73" i="1"/>
  <c r="J123" i="3"/>
  <c r="J124" i="3" s="1"/>
  <c r="L123" i="3"/>
  <c r="L124" i="3" s="1"/>
  <c r="I123" i="3"/>
  <c r="I124" i="3" s="1"/>
  <c r="K123" i="3"/>
  <c r="K124" i="3" s="1"/>
  <c r="H114" i="1"/>
  <c r="H112" i="1"/>
  <c r="J125" i="3" l="1"/>
  <c r="E95" i="1" s="1"/>
  <c r="I125" i="3"/>
  <c r="K125" i="3"/>
  <c r="F95" i="1" s="1"/>
  <c r="L125" i="3"/>
  <c r="G95" i="1" s="1"/>
  <c r="C86" i="1"/>
  <c r="G109" i="1"/>
  <c r="G110" i="1" s="1"/>
  <c r="G115" i="1" s="1"/>
  <c r="D109" i="1"/>
  <c r="D110" i="1" s="1"/>
  <c r="D115" i="1" s="1"/>
  <c r="C17" i="1"/>
  <c r="E108" i="1"/>
  <c r="G108" i="1"/>
  <c r="F109" i="1"/>
  <c r="F110" i="1" s="1"/>
  <c r="F115" i="1" s="1"/>
  <c r="D108" i="1"/>
  <c r="C108" i="1" l="1"/>
  <c r="E109" i="1"/>
  <c r="E110" i="1" s="1"/>
  <c r="E115" i="1" s="1"/>
  <c r="F108" i="1"/>
  <c r="C109" i="1" l="1"/>
  <c r="C110" i="1" s="1"/>
  <c r="C115" i="1" s="1"/>
  <c r="H115" i="1" s="1"/>
  <c r="H107" i="1"/>
  <c r="F117" i="1"/>
  <c r="H109" i="1"/>
  <c r="H11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Mrinal Handa</author>
    <author>Jonathan Heywood</author>
    <author>Microsoft Office User</author>
  </authors>
  <commentList>
    <comment ref="B11" authorId="0" shapeId="0" xr:uid="{088BCAEA-8670-F646-B180-04654D293447}">
      <text>
        <r>
          <rPr>
            <sz val="10"/>
            <color rgb="FF000000"/>
            <rFont val="Tahoma"/>
            <family val="2"/>
          </rPr>
          <t xml:space="preserve">Add average number of months environments are required within each year.
</t>
        </r>
      </text>
    </comment>
    <comment ref="A13" authorId="1" shapeId="0" xr:uid="{769932D4-FC41-A24C-9073-42DF8947C5E0}">
      <text>
        <r>
          <rPr>
            <b/>
            <sz val="10"/>
            <color rgb="FF000000"/>
            <rFont val="Tahoma"/>
            <family val="2"/>
          </rPr>
          <t>Jonathan Heywood: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An Integration Transaction occurs when an event triggers a flow to execute any one or
</t>
        </r>
        <r>
          <rPr>
            <sz val="10"/>
            <color rgb="FF000000"/>
            <rFont val="Tahoma"/>
            <family val="2"/>
          </rPr>
          <t xml:space="preserve">more nodes in the flow. An execution that takes more than 60 seconds to complete is
</t>
        </r>
        <r>
          <rPr>
            <sz val="10"/>
            <color rgb="FF000000"/>
            <rFont val="Tahoma"/>
            <family val="2"/>
          </rPr>
          <t xml:space="preserve">counted as an additional transaction for each additional 60 seconds (or part thereof). An
</t>
        </r>
        <r>
          <rPr>
            <sz val="10"/>
            <color rgb="FF000000"/>
            <rFont val="Tahoma"/>
            <family val="2"/>
          </rPr>
          <t xml:space="preserve">Integration Transaction can occur in a SaaS Integration runtime or an Edge Integration
</t>
        </r>
        <r>
          <rPr>
            <sz val="10"/>
            <color rgb="FF000000"/>
            <rFont val="Tahoma"/>
            <family val="2"/>
          </rPr>
          <t>runtime.</t>
        </r>
      </text>
    </comment>
    <comment ref="B25" authorId="0" shapeId="0" xr:uid="{8D0BF001-BD27-734D-AA4F-4856FE2A3129}">
      <text>
        <r>
          <rPr>
            <sz val="10"/>
            <color rgb="FF000000"/>
            <rFont val="Tahoma"/>
            <family val="2"/>
          </rPr>
          <t xml:space="preserve">Add average number of months environments are required within each year.
</t>
        </r>
      </text>
    </comment>
    <comment ref="A26" authorId="1" shapeId="0" xr:uid="{93E2CE5D-2A1E-FB4A-9093-24B252152592}">
      <text>
        <r>
          <rPr>
            <b/>
            <sz val="10"/>
            <color rgb="FF000000"/>
            <rFont val="Tahoma"/>
            <family val="2"/>
          </rPr>
          <t>Jonathan Heywood: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API Call is the invocation of the Cloud Services through a programmable interface.
</t>
        </r>
        <r>
          <rPr>
            <sz val="10"/>
            <color rgb="FF000000"/>
            <rFont val="Tahoma"/>
            <family val="2"/>
          </rPr>
          <t xml:space="preserve">Specifically, each inbound API Call to an API Gateway or microgateway component will be
</t>
        </r>
        <r>
          <rPr>
            <sz val="10"/>
            <color rgb="FF000000"/>
            <rFont val="Tahoma"/>
            <family val="2"/>
          </rPr>
          <t>counted as an API Call.</t>
        </r>
      </text>
    </comment>
    <comment ref="B38" authorId="0" shapeId="0" xr:uid="{7486345E-9082-BA4E-BEA4-A19EA9FF2F70}">
      <text>
        <r>
          <rPr>
            <sz val="10"/>
            <color rgb="FF000000"/>
            <rFont val="Tahoma"/>
            <family val="2"/>
          </rPr>
          <t xml:space="preserve">Add average number of months environments are required within each year.
</t>
        </r>
      </text>
    </comment>
    <comment ref="A39" authorId="1" shapeId="0" xr:uid="{EBA05E9B-1C9F-4142-97AB-8A26D41B65AB}">
      <text>
        <r>
          <rPr>
            <b/>
            <sz val="10"/>
            <color rgb="FF000000"/>
            <rFont val="Tahoma"/>
            <family val="2"/>
          </rPr>
          <t>Jonathan Heywood: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 B2B Transaction is the exchange of any electronic document (e.g., purchase order,
</t>
        </r>
        <r>
          <rPr>
            <sz val="10"/>
            <color rgb="FF000000"/>
            <rFont val="Tahoma"/>
            <family val="2"/>
          </rPr>
          <t xml:space="preserve">purchase order acknowledgment, invoice, ASN) with another entity in any EDI or non-
</t>
        </r>
        <r>
          <rPr>
            <sz val="10"/>
            <color rgb="FF000000"/>
            <rFont val="Tahoma"/>
            <family val="2"/>
          </rPr>
          <t xml:space="preserve">EDI standard format (e.g., EDI, XML, csv).
</t>
        </r>
        <r>
          <rPr>
            <sz val="10"/>
            <color rgb="FF000000"/>
            <rFont val="Tahoma"/>
            <family val="2"/>
          </rPr>
          <t>●</t>
        </r>
        <r>
          <rPr>
            <sz val="10"/>
            <color rgb="FF000000"/>
            <rFont val="Tahoma"/>
            <family val="2"/>
          </rPr>
          <t xml:space="preserve"> A single document sent or received by the platform is counted as a B2B Transaction.
</t>
        </r>
        <r>
          <rPr>
            <sz val="10"/>
            <color rgb="FF000000"/>
            <rFont val="Tahoma"/>
            <family val="2"/>
          </rPr>
          <t>●</t>
        </r>
        <r>
          <rPr>
            <sz val="10"/>
            <color rgb="FF000000"/>
            <rFont val="Tahoma"/>
            <family val="2"/>
          </rPr>
          <t xml:space="preserve"> For batch transactions, each single B2B transaction contained within the batch is
</t>
        </r>
        <r>
          <rPr>
            <sz val="10"/>
            <color rgb="FF000000"/>
            <rFont val="Tahoma"/>
            <family val="2"/>
          </rPr>
          <t xml:space="preserve">counted.
</t>
        </r>
        <r>
          <rPr>
            <sz val="10"/>
            <color rgb="FF000000"/>
            <rFont val="Tahoma"/>
            <family val="2"/>
          </rPr>
          <t>●</t>
        </r>
        <r>
          <rPr>
            <sz val="10"/>
            <color rgb="FF000000"/>
            <rFont val="Tahoma"/>
            <family val="2"/>
          </rPr>
          <t xml:space="preserve"> A document more than 5 kilobytes will be counted as an additional B2B Transaction and each additional 5 kilobyte will be rounded up to the nearest increment.</t>
        </r>
      </text>
    </comment>
    <comment ref="A43" authorId="1" shapeId="0" xr:uid="{CE64C547-91E9-0A45-954A-81676167B29A}">
      <text>
        <r>
          <rPr>
            <b/>
            <sz val="10"/>
            <color rgb="FF000000"/>
            <rFont val="Tahoma"/>
            <family val="2"/>
          </rPr>
          <t>Jonathan Heywood: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Value-Added Network (VAN) Transactions
</t>
        </r>
        <r>
          <rPr>
            <sz val="10"/>
            <color rgb="FF000000"/>
            <rFont val="Tahoma"/>
            <family val="2"/>
          </rPr>
          <t>●</t>
        </r>
        <r>
          <rPr>
            <sz val="10"/>
            <color rgb="FF000000"/>
            <rFont val="Tahoma"/>
            <family val="2"/>
          </rPr>
          <t xml:space="preserve"> A singe document sent or received by the VAN capability is counted as a VAN
</t>
        </r>
        <r>
          <rPr>
            <sz val="10"/>
            <color rgb="FF000000"/>
            <rFont val="Tahoma"/>
            <family val="2"/>
          </rPr>
          <t xml:space="preserve">Transaction.
</t>
        </r>
        <r>
          <rPr>
            <sz val="10"/>
            <color rgb="FF000000"/>
            <rFont val="Tahoma"/>
            <family val="2"/>
          </rPr>
          <t>●</t>
        </r>
        <r>
          <rPr>
            <sz val="10"/>
            <color rgb="FF000000"/>
            <rFont val="Tahoma"/>
            <family val="2"/>
          </rPr>
          <t xml:space="preserve"> For batch transactions, each single VAN Transaction contained within the batch is counted.
</t>
        </r>
        <r>
          <rPr>
            <sz val="10"/>
            <color rgb="FF000000"/>
            <rFont val="Tahoma"/>
            <family val="2"/>
          </rPr>
          <t>●</t>
        </r>
        <r>
          <rPr>
            <sz val="10"/>
            <color rgb="FF000000"/>
            <rFont val="Tahoma"/>
            <family val="2"/>
          </rPr>
          <t xml:space="preserve"> A document more than 5 kilobytes will be counted as an additional VAN
</t>
        </r>
        <r>
          <rPr>
            <sz val="10"/>
            <color rgb="FF000000"/>
            <rFont val="Tahoma"/>
            <family val="2"/>
          </rPr>
          <t xml:space="preserve">Transaction. Each addition 5 kilobytes will be rounded up to the nearest
</t>
        </r>
        <r>
          <rPr>
            <sz val="10"/>
            <color rgb="FF000000"/>
            <rFont val="Tahoma"/>
            <family val="2"/>
          </rPr>
          <t>increment.</t>
        </r>
      </text>
    </comment>
    <comment ref="B43" authorId="0" shapeId="0" xr:uid="{D911EE3B-CF4A-C149-98A3-14D4BB8AA1E6}">
      <text>
        <r>
          <rPr>
            <b/>
            <sz val="10"/>
            <color rgb="FF000000"/>
            <rFont val="Tahoma"/>
            <family val="2"/>
          </rPr>
          <t>Mrinal Handa: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VAN requires B2B to function and VAN transactions cannot be less than B2B transactions..</t>
        </r>
      </text>
    </comment>
    <comment ref="B45" authorId="0" shapeId="0" xr:uid="{E337A588-7B60-8F4D-9FC2-42495DEC7DAD}">
      <text>
        <r>
          <rPr>
            <b/>
            <sz val="10"/>
            <color rgb="FF000000"/>
            <rFont val="Tahoma"/>
            <family val="2"/>
          </rPr>
          <t>Mrinal Handa: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VAN requires B2B to function and VAN transactions cannot be less than B2B transactions..</t>
        </r>
        <r>
          <rPr>
            <sz val="10"/>
            <color rgb="FF000000"/>
            <rFont val="Aptos Narrow"/>
            <scheme val="minor"/>
          </rPr>
          <t xml:space="preserve">
</t>
        </r>
      </text>
    </comment>
    <comment ref="B55" authorId="0" shapeId="0" xr:uid="{71DDBE49-0893-D348-9CBE-7F1D41389641}">
      <text>
        <r>
          <rPr>
            <sz val="10"/>
            <color rgb="FF000000"/>
            <rFont val="Tahoma"/>
            <family val="2"/>
          </rPr>
          <t xml:space="preserve">Add average number of months environments are required within each year.
</t>
        </r>
      </text>
    </comment>
    <comment ref="A56" authorId="1" shapeId="0" xr:uid="{952D73C8-2DE9-444F-B428-01ED9D70D182}">
      <text>
        <r>
          <rPr>
            <b/>
            <sz val="10"/>
            <color rgb="FF000000"/>
            <rFont val="Tahoma"/>
            <family val="2"/>
          </rPr>
          <t>Jonathan Heywood: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 Managed File Transfer (MFT) Transaction is an initiation of an inbound file transfer or
</t>
        </r>
        <r>
          <rPr>
            <sz val="10"/>
            <color rgb="FF000000"/>
            <rFont val="Tahoma"/>
            <family val="2"/>
          </rPr>
          <t xml:space="preserve">an initiation of an outbound file transfer.
</t>
        </r>
        <r>
          <rPr>
            <sz val="10"/>
            <color rgb="FF000000"/>
            <rFont val="Tahoma"/>
            <family val="2"/>
          </rPr>
          <t>●</t>
        </r>
        <r>
          <rPr>
            <sz val="10"/>
            <color rgb="FF000000"/>
            <rFont val="Tahoma"/>
            <family val="2"/>
          </rPr>
          <t xml:space="preserve"> A file more than 5 megabytes will be counted as an additional MFT Transaction for
</t>
        </r>
        <r>
          <rPr>
            <sz val="10"/>
            <color rgb="FF000000"/>
            <rFont val="Tahoma"/>
            <family val="2"/>
          </rPr>
          <t>each additional 5 megabytes rounded up to the nearest increment.</t>
        </r>
      </text>
    </comment>
    <comment ref="B68" authorId="0" shapeId="0" xr:uid="{5803C7D5-955E-104F-96D3-0F7AA6951863}">
      <text>
        <r>
          <rPr>
            <sz val="10"/>
            <color rgb="FF000000"/>
            <rFont val="Tahoma"/>
            <family val="2"/>
          </rPr>
          <t xml:space="preserve">Add average number of months environments are required within each year.
</t>
        </r>
      </text>
    </comment>
    <comment ref="A69" authorId="1" shapeId="0" xr:uid="{E35A0FD4-7990-B846-BB11-08BF6F5B5B63}">
      <text>
        <r>
          <rPr>
            <b/>
            <sz val="10"/>
            <color rgb="FF000000"/>
            <rFont val="Tahoma"/>
            <family val="2"/>
          </rPr>
          <t>Jonathan Heywood: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Event is an occurrence of a specific event that is processed by or related to the use of the
</t>
        </r>
        <r>
          <rPr>
            <sz val="10"/>
            <color rgb="FF000000"/>
            <rFont val="Tahoma"/>
            <family val="2"/>
          </rPr>
          <t xml:space="preserve">Cloud Services. For this Cloud Service, an Event is a message published or received through
</t>
        </r>
        <r>
          <rPr>
            <sz val="10"/>
            <color rgb="FF000000"/>
            <rFont val="Tahoma"/>
            <family val="2"/>
          </rPr>
          <t xml:space="preserve">an Event Gateway. Client must obtain sufficient RU entitlements for the Events processed by
</t>
        </r>
        <r>
          <rPr>
            <sz val="10"/>
            <color rgb="FF000000"/>
            <rFont val="Tahoma"/>
            <family val="2"/>
          </rPr>
          <t xml:space="preserve">the Cloud Service during a 12 month period as follows:
</t>
        </r>
        <r>
          <rPr>
            <sz val="10"/>
            <color rgb="FF000000"/>
            <rFont val="Tahoma"/>
            <family val="2"/>
          </rPr>
          <t xml:space="preserve">(a) A message exceeding 200 kilobytes will be counted as an additional Event. Each
</t>
        </r>
        <r>
          <rPr>
            <sz val="10"/>
            <color rgb="FF000000"/>
            <rFont val="Tahoma"/>
            <family val="2"/>
          </rPr>
          <t>additional 200 kilobytes will be rounded up to the nearest increment.</t>
        </r>
      </text>
    </comment>
    <comment ref="B81" authorId="0" shapeId="0" xr:uid="{CF6423E3-DD11-6840-AABE-D0B37744D24F}">
      <text>
        <r>
          <rPr>
            <sz val="10"/>
            <color rgb="FF000000"/>
            <rFont val="Tahoma"/>
            <family val="2"/>
          </rPr>
          <t xml:space="preserve">Add average number of months environments are required within each year.
</t>
        </r>
      </text>
    </comment>
    <comment ref="A82" authorId="1" shapeId="0" xr:uid="{5DEBB612-6A83-F14C-8070-0B5103C33C9B}">
      <text>
        <r>
          <rPr>
            <b/>
            <sz val="10"/>
            <color rgb="FF000000"/>
            <rFont val="Tahoma"/>
            <family val="2"/>
          </rPr>
          <t>Jonathan Heywood: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Event is an occurrence of a specific event that is processed by or related to the use of the
</t>
        </r>
        <r>
          <rPr>
            <sz val="10"/>
            <color rgb="FF000000"/>
            <rFont val="Tahoma"/>
            <family val="2"/>
          </rPr>
          <t xml:space="preserve">Cloud Services. For this Cloud Service, an Event is a message published or received through
</t>
        </r>
        <r>
          <rPr>
            <sz val="10"/>
            <color rgb="FF000000"/>
            <rFont val="Tahoma"/>
            <family val="2"/>
          </rPr>
          <t xml:space="preserve">an Event Gateway. Client must obtain sufficient RU entitlements for the Events processed by
</t>
        </r>
        <r>
          <rPr>
            <sz val="10"/>
            <color rgb="FF000000"/>
            <rFont val="Tahoma"/>
            <family val="2"/>
          </rPr>
          <t xml:space="preserve">the Cloud Service during a 12 month period as follows:
</t>
        </r>
        <r>
          <rPr>
            <sz val="10"/>
            <color rgb="FF000000"/>
            <rFont val="Tahoma"/>
            <family val="2"/>
          </rPr>
          <t xml:space="preserve">(a) A message exceeding 200 kilobytes will be counted as an additional Event. Each
</t>
        </r>
        <r>
          <rPr>
            <sz val="10"/>
            <color rgb="FF000000"/>
            <rFont val="Tahoma"/>
            <family val="2"/>
          </rPr>
          <t>additional 200 kilobytes will be rounded up to the nearest increment.</t>
        </r>
      </text>
    </comment>
    <comment ref="A90" authorId="1" shapeId="0" xr:uid="{0238F831-1691-604C-8EBF-31DE2080A98D}">
      <text>
        <r>
          <rPr>
            <b/>
            <sz val="10"/>
            <color rgb="FF000000"/>
            <rFont val="Tahoma"/>
            <family val="2"/>
          </rPr>
          <t>Jonathan Heywood: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Integration Runtime/API Gateway (IR/API GW) in the Hybrid Control Plane
</t>
        </r>
        <r>
          <rPr>
            <sz val="10"/>
            <color rgb="FF000000"/>
            <rFont val="Tahoma"/>
            <family val="2"/>
          </rPr>
          <t xml:space="preserve">(a) Each remote Integration Runtime (IR) and each remote API Gateway (API GW) will be
</t>
        </r>
        <r>
          <rPr>
            <sz val="10"/>
            <color rgb="FF000000"/>
            <rFont val="Tahoma"/>
            <family val="2"/>
          </rPr>
          <t>counted</t>
        </r>
      </text>
    </comment>
    <comment ref="A95" authorId="2" shapeId="0" xr:uid="{3E67D1E7-2607-8E49-B35F-B1BB03AF6816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Private Network Connects is enabled per environment</t>
        </r>
      </text>
    </comment>
    <comment ref="A114" authorId="0" shapeId="0" xr:uid="{BF92BF7B-E812-4F46-B64F-0E93669A0C85}">
      <text>
        <r>
          <rPr>
            <sz val="12"/>
            <color theme="1"/>
            <rFont val="Aptos Narrow"/>
            <family val="2"/>
            <scheme val="minor"/>
          </rPr>
          <t>Mrinal Handa:
Limited discount applicable on Advanced Support. Refer CPQ/IBM Quoting for Discount allowed.</t>
        </r>
      </text>
    </comment>
  </commentList>
</comments>
</file>

<file path=xl/sharedStrings.xml><?xml version="1.0" encoding="utf-8"?>
<sst xmlns="http://schemas.openxmlformats.org/spreadsheetml/2006/main" count="374" uniqueCount="90">
  <si>
    <t>IBM webMethods Hyb Int SaaS Sizing Calculator</t>
  </si>
  <si>
    <r>
      <t xml:space="preserve">NOTE: This sheet is </t>
    </r>
    <r>
      <rPr>
        <u/>
        <sz val="14"/>
        <color rgb="FFFF0000"/>
        <rFont val="Aptos Narrow (Body)"/>
      </rPr>
      <t>only</t>
    </r>
    <r>
      <rPr>
        <sz val="14"/>
        <color rgb="FFFF0000"/>
        <rFont val="Aptos Narrow"/>
        <family val="2"/>
        <scheme val="minor"/>
      </rPr>
      <t xml:space="preserve"> for use with
 IBM webMethodsHybrid Integration </t>
    </r>
    <r>
      <rPr>
        <u/>
        <sz val="14"/>
        <color rgb="FFFF0000"/>
        <rFont val="Aptos Narrow (Body)"/>
      </rPr>
      <t>SaaS</t>
    </r>
    <r>
      <rPr>
        <sz val="14"/>
        <color rgb="FFFF0000"/>
        <rFont val="Aptos Narrow"/>
        <family val="2"/>
        <scheme val="minor"/>
      </rPr>
      <t xml:space="preserve">
Part D0YG9ZX</t>
    </r>
  </si>
  <si>
    <t>Use this sheet to determine how many RUs are needed for a given configuration</t>
  </si>
  <si>
    <t>Instructions: enter values in the blue shaded cells</t>
  </si>
  <si>
    <t>Integration</t>
  </si>
  <si>
    <t>Year 1</t>
  </si>
  <si>
    <t>Year 2</t>
  </si>
  <si>
    <t>Year 3</t>
  </si>
  <si>
    <t>Year 4</t>
  </si>
  <si>
    <t>Year 5</t>
  </si>
  <si>
    <t>Private Network Connection</t>
  </si>
  <si>
    <t>Development environment</t>
  </si>
  <si>
    <t># months</t>
  </si>
  <si>
    <t>Test environment</t>
  </si>
  <si>
    <t>Production environment</t>
  </si>
  <si>
    <t>Additional environments</t>
  </si>
  <si>
    <t>Additional runtimes</t>
  </si>
  <si>
    <t># runtimes (12mth)</t>
  </si>
  <si>
    <t>Integration Transactions</t>
  </si>
  <si>
    <t>Production tx/year</t>
  </si>
  <si>
    <t>Production tx/month</t>
  </si>
  <si>
    <t>Non-production tx/year</t>
  </si>
  <si>
    <t>Non-production tx/month</t>
  </si>
  <si>
    <t>RUs</t>
  </si>
  <si>
    <t>API Management</t>
  </si>
  <si>
    <t>API Calls</t>
  </si>
  <si>
    <t>B2B</t>
  </si>
  <si>
    <t>B2B Transactions</t>
  </si>
  <si>
    <t>VAN Transactions</t>
  </si>
  <si>
    <t>MFT</t>
  </si>
  <si>
    <t>MFT Transactions</t>
  </si>
  <si>
    <t>Event Endpoint Mgmt</t>
  </si>
  <si>
    <t>Events</t>
  </si>
  <si>
    <t>GraphQL</t>
  </si>
  <si>
    <t>GraphQL API Calls</t>
  </si>
  <si>
    <t>Hybrid Control Plane</t>
  </si>
  <si>
    <t>Connections</t>
  </si>
  <si>
    <t># connections</t>
  </si>
  <si>
    <t>Private Network Connections</t>
  </si>
  <si>
    <t>TOTALS</t>
  </si>
  <si>
    <t>TOTAL</t>
  </si>
  <si>
    <t>Qty to enter in CPQ
(annual)</t>
  </si>
  <si>
    <t>Deal discount</t>
  </si>
  <si>
    <t>List price</t>
  </si>
  <si>
    <t>Discounted price</t>
  </si>
  <si>
    <t>Include Advanced Suppport</t>
  </si>
  <si>
    <t>Advanced Support Price</t>
  </si>
  <si>
    <t>Discount on Adv Support</t>
  </si>
  <si>
    <t>Discounted Adv Support Price</t>
  </si>
  <si>
    <t>Total Price</t>
  </si>
  <si>
    <t>Note prices shown here are US prices. Regional prices will vary. Use SQO/CPQ/IBM Quoting as definitive source for prices in your region</t>
  </si>
  <si>
    <t>Master data</t>
  </si>
  <si>
    <t>Calculator</t>
  </si>
  <si>
    <t>Price per RU</t>
  </si>
  <si>
    <t>RUs/mth</t>
  </si>
  <si>
    <t>Qty</t>
  </si>
  <si>
    <t>Environment</t>
  </si>
  <si>
    <t>Runtime</t>
  </si>
  <si>
    <t>From</t>
  </si>
  <si>
    <t>To</t>
  </si>
  <si>
    <t>Per</t>
  </si>
  <si>
    <t>Transactions</t>
  </si>
  <si>
    <t>VAN</t>
  </si>
  <si>
    <t>N/A</t>
  </si>
  <si>
    <t>env</t>
  </si>
  <si>
    <t>Dev</t>
  </si>
  <si>
    <t>Test</t>
  </si>
  <si>
    <t>Prod</t>
  </si>
  <si>
    <t>env months</t>
  </si>
  <si>
    <t>Int</t>
  </si>
  <si>
    <t xml:space="preserve">API </t>
  </si>
  <si>
    <t>EEM</t>
  </si>
  <si>
    <t>Max addl envs</t>
  </si>
  <si>
    <t>Addl env RUs</t>
  </si>
  <si>
    <t>Total</t>
  </si>
  <si>
    <t>No</t>
  </si>
  <si>
    <t>Integration - non-prod</t>
  </si>
  <si>
    <t>API Management - non-prod</t>
  </si>
  <si>
    <t>B2B - non-prod</t>
  </si>
  <si>
    <t>VAN - non-prod</t>
  </si>
  <si>
    <t>MFT - non-prod</t>
  </si>
  <si>
    <t>Event Endpoint Mgmt - non-prod</t>
  </si>
  <si>
    <t>GraphQL - non-prod</t>
  </si>
  <si>
    <t># Avg. months active</t>
  </si>
  <si>
    <t># Count of envirnoment</t>
  </si>
  <si>
    <t>DataPower Interact Gateway</t>
  </si>
  <si>
    <t>AI Call Messages</t>
  </si>
  <si>
    <t>DIG - Prod</t>
  </si>
  <si>
    <t>DIG Non-Prod</t>
  </si>
  <si>
    <t>v16 30 June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</si>
</sst>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&quot;€&quot;\ * #,##0.00_ ;_ &quot;€&quot;\ * \-#,##0.00_ ;_ &quot;€&quot;\ * &quot;-&quot;??_ ;_ @_ "/>
    <numFmt numFmtId="165" formatCode="_ * #,##0.00_ ;_ * \-#,##0.00_ ;_ * &quot;-&quot;??_ ;_ @_ "/>
    <numFmt numFmtId="166" formatCode="_ * #,##0_ ;_ * \-#,##0_ ;_ * &quot;-&quot;??_ ;_ @_ "/>
    <numFmt numFmtId="167" formatCode="_-[$$-409]* #,##0.00_ ;_-[$$-409]* \-#,##0.00\ ;_-[$$-409]* &quot;-&quot;??_ ;_-@_ "/>
    <numFmt numFmtId="168" formatCode="_-[$$-409]* #,##0_ ;_-[$$-409]* \-#,##0\ ;_-[$$-409]* &quot;-&quot;??_ ;_-@_ 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8"/>
      <name val="Aptos Narrow"/>
      <family val="2"/>
      <scheme val="minor"/>
    </font>
    <font>
      <b/>
      <sz val="16"/>
      <color theme="0"/>
      <name val="Aptos Narrow"/>
      <scheme val="minor"/>
    </font>
    <font>
      <sz val="16"/>
      <color theme="0"/>
      <name val="Aptos Narrow"/>
      <family val="2"/>
      <scheme val="minor"/>
    </font>
    <font>
      <i/>
      <sz val="12"/>
      <color theme="1"/>
      <name val="Aptos Narrow"/>
      <scheme val="minor"/>
    </font>
    <font>
      <sz val="14"/>
      <color rgb="FFFF0000"/>
      <name val="Aptos Narrow"/>
      <family val="2"/>
      <scheme val="minor"/>
    </font>
    <font>
      <u/>
      <sz val="14"/>
      <color rgb="FFFF0000"/>
      <name val="Aptos Narrow (Body)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6"/>
      <color theme="1"/>
      <name val="Aptos Narrow"/>
      <scheme val="minor"/>
    </font>
    <font>
      <sz val="12"/>
      <color rgb="FFFF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0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sz val="10"/>
      <color rgb="FF000000"/>
      <name val="Aptos Narrow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0"/>
        <bgColor indexed="64"/>
      </patternFill>
    </fill>
    <fill>
      <patternFill patternType="solid">
        <fgColor rgb="FFDAE9F8"/>
        <bgColor rgb="FF000000"/>
      </patternFill>
    </fill>
    <fill>
      <patternFill patternType="solid">
        <fgColor rgb="FFCC9C12"/>
        <bgColor indexed="64"/>
      </patternFill>
    </fill>
    <fill>
      <patternFill patternType="solid">
        <fgColor rgb="FFFFEFA6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</cellStyleXfs>
  <cellXfs count="93">
    <xf numFmtId="0" fontId="0" fillId="0" borderId="0" xfId="0"/>
    <xf numFmtId="0" fontId="2" fillId="0" borderId="0" xfId="0" applyFont="1"/>
    <xf numFmtId="0" fontId="3" fillId="0" borderId="0" xfId="0" applyFont="1"/>
    <xf numFmtId="0" fontId="0" fillId="3" borderId="0" xfId="0" applyFill="1"/>
    <xf numFmtId="168" fontId="0" fillId="3" borderId="0" xfId="2" applyNumberFormat="1" applyFont="1" applyFill="1"/>
    <xf numFmtId="166" fontId="0" fillId="0" borderId="0" xfId="1" applyNumberFormat="1" applyFont="1"/>
    <xf numFmtId="0" fontId="5" fillId="5" borderId="0" xfId="0" applyFont="1" applyFill="1"/>
    <xf numFmtId="0" fontId="0" fillId="4" borderId="0" xfId="0" applyFill="1"/>
    <xf numFmtId="166" fontId="0" fillId="4" borderId="0" xfId="1" applyNumberFormat="1" applyFont="1" applyFill="1"/>
    <xf numFmtId="166" fontId="0" fillId="3" borderId="0" xfId="1" applyNumberFormat="1" applyFont="1" applyFill="1"/>
    <xf numFmtId="0" fontId="5" fillId="6" borderId="0" xfId="0" applyFont="1" applyFill="1"/>
    <xf numFmtId="0" fontId="0" fillId="7" borderId="0" xfId="0" applyFill="1"/>
    <xf numFmtId="166" fontId="0" fillId="7" borderId="0" xfId="1" applyNumberFormat="1" applyFont="1" applyFill="1"/>
    <xf numFmtId="0" fontId="5" fillId="8" borderId="0" xfId="0" applyFont="1" applyFill="1"/>
    <xf numFmtId="0" fontId="0" fillId="9" borderId="0" xfId="0" applyFill="1"/>
    <xf numFmtId="166" fontId="0" fillId="9" borderId="0" xfId="1" applyNumberFormat="1" applyFont="1" applyFill="1"/>
    <xf numFmtId="0" fontId="5" fillId="10" borderId="0" xfId="0" applyFont="1" applyFill="1"/>
    <xf numFmtId="167" fontId="4" fillId="0" borderId="0" xfId="2" applyNumberFormat="1" applyFont="1"/>
    <xf numFmtId="166" fontId="0" fillId="0" borderId="0" xfId="0" applyNumberFormat="1"/>
    <xf numFmtId="0" fontId="7" fillId="5" borderId="0" xfId="0" applyFont="1" applyFill="1"/>
    <xf numFmtId="0" fontId="7" fillId="6" borderId="0" xfId="0" applyFont="1" applyFill="1"/>
    <xf numFmtId="0" fontId="7" fillId="8" borderId="0" xfId="0" applyFont="1" applyFill="1"/>
    <xf numFmtId="0" fontId="7" fillId="10" borderId="0" xfId="0" applyFont="1" applyFill="1"/>
    <xf numFmtId="0" fontId="8" fillId="11" borderId="0" xfId="0" applyFont="1" applyFill="1"/>
    <xf numFmtId="0" fontId="4" fillId="0" borderId="0" xfId="0" applyFont="1" applyAlignment="1">
      <alignment horizontal="right"/>
    </xf>
    <xf numFmtId="0" fontId="5" fillId="11" borderId="0" xfId="0" applyFont="1" applyFill="1"/>
    <xf numFmtId="168" fontId="4" fillId="3" borderId="0" xfId="2" applyNumberFormat="1" applyFont="1" applyFill="1"/>
    <xf numFmtId="166" fontId="0" fillId="2" borderId="0" xfId="1" applyNumberFormat="1" applyFont="1" applyFill="1" applyProtection="1">
      <protection locked="0"/>
    </xf>
    <xf numFmtId="9" fontId="0" fillId="2" borderId="0" xfId="0" applyNumberFormat="1" applyFill="1" applyAlignment="1" applyProtection="1">
      <alignment horizontal="left"/>
      <protection locked="0"/>
    </xf>
    <xf numFmtId="0" fontId="9" fillId="0" borderId="0" xfId="0" applyFont="1"/>
    <xf numFmtId="0" fontId="4" fillId="12" borderId="0" xfId="0" applyFont="1" applyFill="1"/>
    <xf numFmtId="168" fontId="4" fillId="12" borderId="0" xfId="2" applyNumberFormat="1" applyFont="1" applyFill="1"/>
    <xf numFmtId="0" fontId="5" fillId="14" borderId="0" xfId="0" applyFont="1" applyFill="1"/>
    <xf numFmtId="0" fontId="0" fillId="15" borderId="0" xfId="0" applyFill="1"/>
    <xf numFmtId="166" fontId="0" fillId="15" borderId="0" xfId="1" applyNumberFormat="1" applyFont="1" applyFill="1"/>
    <xf numFmtId="0" fontId="7" fillId="14" borderId="0" xfId="0" applyFont="1" applyFill="1"/>
    <xf numFmtId="0" fontId="7" fillId="16" borderId="0" xfId="0" applyFont="1" applyFill="1"/>
    <xf numFmtId="166" fontId="0" fillId="0" borderId="0" xfId="1" applyNumberFormat="1" applyFont="1" applyFill="1" applyProtection="1"/>
    <xf numFmtId="0" fontId="5" fillId="16" borderId="0" xfId="0" applyFont="1" applyFill="1"/>
    <xf numFmtId="0" fontId="0" fillId="17" borderId="0" xfId="0" applyFill="1"/>
    <xf numFmtId="166" fontId="0" fillId="17" borderId="0" xfId="1" applyNumberFormat="1" applyFont="1" applyFill="1"/>
    <xf numFmtId="166" fontId="0" fillId="3" borderId="0" xfId="0" applyNumberFormat="1" applyFill="1"/>
    <xf numFmtId="0" fontId="4" fillId="13" borderId="9" xfId="0" applyFont="1" applyFill="1" applyBorder="1" applyAlignment="1">
      <alignment wrapText="1"/>
    </xf>
    <xf numFmtId="0" fontId="14" fillId="13" borderId="10" xfId="0" applyFont="1" applyFill="1" applyBorder="1" applyAlignment="1">
      <alignment vertical="center"/>
    </xf>
    <xf numFmtId="0" fontId="14" fillId="13" borderId="11" xfId="0" applyFont="1" applyFill="1" applyBorder="1" applyAlignment="1">
      <alignment vertical="center"/>
    </xf>
    <xf numFmtId="0" fontId="16" fillId="18" borderId="0" xfId="3"/>
    <xf numFmtId="0" fontId="7" fillId="18" borderId="0" xfId="3" applyFont="1"/>
    <xf numFmtId="0" fontId="4" fillId="0" borderId="0" xfId="0" applyFont="1" applyAlignment="1">
      <alignment horizontal="center" vertical="center" wrapText="1"/>
    </xf>
    <xf numFmtId="0" fontId="16" fillId="19" borderId="0" xfId="4"/>
    <xf numFmtId="0" fontId="0" fillId="2" borderId="0" xfId="0" applyFill="1"/>
    <xf numFmtId="0" fontId="0" fillId="2" borderId="0" xfId="0" applyFill="1" applyProtection="1"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6" fontId="18" fillId="21" borderId="0" xfId="0" applyNumberFormat="1" applyFont="1" applyFill="1" applyProtection="1">
      <protection locked="0"/>
    </xf>
    <xf numFmtId="0" fontId="19" fillId="20" borderId="0" xfId="0" applyFont="1" applyFill="1" applyProtection="1">
      <protection hidden="1"/>
    </xf>
    <xf numFmtId="0" fontId="7" fillId="0" borderId="0" xfId="0" applyFont="1" applyProtection="1"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0" fontId="17" fillId="0" borderId="0" xfId="0" applyFont="1" applyProtection="1">
      <protection hidden="1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0" borderId="0" xfId="0" applyFont="1" applyProtection="1">
      <protection hidden="1"/>
    </xf>
    <xf numFmtId="0" fontId="17" fillId="0" borderId="0" xfId="3" applyFont="1" applyFill="1" applyProtection="1">
      <protection hidden="1"/>
    </xf>
    <xf numFmtId="9" fontId="0" fillId="0" borderId="0" xfId="0" applyNumberFormat="1" applyAlignment="1" applyProtection="1">
      <alignment horizontal="left"/>
      <protection locked="0"/>
    </xf>
    <xf numFmtId="168" fontId="4" fillId="0" borderId="0" xfId="2" applyNumberFormat="1" applyFont="1" applyFill="1"/>
    <xf numFmtId="0" fontId="0" fillId="0" borderId="0" xfId="0" applyAlignment="1">
      <alignment wrapText="1"/>
    </xf>
    <xf numFmtId="9" fontId="0" fillId="2" borderId="0" xfId="0" applyNumberFormat="1" applyFill="1" applyAlignment="1" applyProtection="1">
      <alignment horizontal="left" vertical="center"/>
      <protection locked="0"/>
    </xf>
    <xf numFmtId="168" fontId="19" fillId="3" borderId="0" xfId="2" applyNumberFormat="1" applyFont="1" applyFill="1" applyAlignment="1">
      <alignment vertical="center"/>
    </xf>
    <xf numFmtId="168" fontId="4" fillId="12" borderId="0" xfId="2" applyNumberFormat="1" applyFont="1" applyFill="1" applyAlignment="1">
      <alignment vertical="center"/>
    </xf>
    <xf numFmtId="168" fontId="4" fillId="3" borderId="0" xfId="2" applyNumberFormat="1" applyFont="1" applyFill="1" applyAlignment="1">
      <alignment vertical="center"/>
    </xf>
    <xf numFmtId="0" fontId="0" fillId="0" borderId="0" xfId="0" applyAlignment="1">
      <alignment horizontal="left" vertical="center" wrapText="1"/>
    </xf>
    <xf numFmtId="0" fontId="7" fillId="22" borderId="0" xfId="0" applyFont="1" applyFill="1"/>
    <xf numFmtId="0" fontId="0" fillId="23" borderId="0" xfId="0" applyFill="1"/>
    <xf numFmtId="166" fontId="0" fillId="23" borderId="0" xfId="1" applyNumberFormat="1" applyFont="1" applyFill="1"/>
    <xf numFmtId="0" fontId="5" fillId="22" borderId="0" xfId="0" applyFont="1" applyFill="1"/>
    <xf numFmtId="0" fontId="7" fillId="19" borderId="0" xfId="4" applyFont="1"/>
    <xf numFmtId="0" fontId="10" fillId="13" borderId="1" xfId="0" applyFont="1" applyFill="1" applyBorder="1" applyAlignment="1">
      <alignment horizontal="center" wrapText="1"/>
    </xf>
    <xf numFmtId="0" fontId="10" fillId="13" borderId="2" xfId="0" applyFont="1" applyFill="1" applyBorder="1" applyAlignment="1">
      <alignment horizontal="center"/>
    </xf>
    <xf numFmtId="0" fontId="10" fillId="13" borderId="3" xfId="0" applyFont="1" applyFill="1" applyBorder="1" applyAlignment="1">
      <alignment horizontal="center"/>
    </xf>
    <xf numFmtId="0" fontId="10" fillId="13" borderId="4" xfId="0" applyFont="1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10" fillId="13" borderId="5" xfId="0" applyFont="1" applyFill="1" applyBorder="1" applyAlignment="1">
      <alignment horizontal="center"/>
    </xf>
    <xf numFmtId="0" fontId="10" fillId="13" borderId="6" xfId="0" applyFont="1" applyFill="1" applyBorder="1" applyAlignment="1">
      <alignment horizontal="center"/>
    </xf>
    <xf numFmtId="0" fontId="10" fillId="13" borderId="7" xfId="0" applyFont="1" applyFill="1" applyBorder="1" applyAlignment="1">
      <alignment horizontal="center"/>
    </xf>
    <xf numFmtId="0" fontId="10" fillId="13" borderId="8" xfId="0" applyFont="1" applyFill="1" applyBorder="1" applyAlignment="1">
      <alignment horizontal="center"/>
    </xf>
    <xf numFmtId="0" fontId="0" fillId="13" borderId="13" xfId="0" applyFill="1" applyBorder="1" applyAlignment="1">
      <alignment horizontal="center" vertical="center" wrapText="1"/>
    </xf>
    <xf numFmtId="0" fontId="0" fillId="13" borderId="12" xfId="0" applyFill="1" applyBorder="1" applyAlignment="1">
      <alignment horizontal="center" vertical="center" wrapText="1"/>
    </xf>
    <xf numFmtId="0" fontId="0" fillId="13" borderId="14" xfId="0" applyFill="1" applyBorder="1" applyAlignment="1">
      <alignment horizontal="center" vertical="center" wrapText="1"/>
    </xf>
    <xf numFmtId="0" fontId="0" fillId="13" borderId="15" xfId="0" applyFill="1" applyBorder="1" applyAlignment="1">
      <alignment horizontal="center" vertical="center" wrapText="1"/>
    </xf>
    <xf numFmtId="0" fontId="0" fillId="13" borderId="0" xfId="0" applyFill="1" applyAlignment="1">
      <alignment horizontal="center" vertical="center" wrapText="1"/>
    </xf>
    <xf numFmtId="0" fontId="0" fillId="13" borderId="16" xfId="0" applyFill="1" applyBorder="1" applyAlignment="1">
      <alignment horizontal="center" vertical="center" wrapText="1"/>
    </xf>
    <xf numFmtId="0" fontId="0" fillId="13" borderId="17" xfId="0" applyFill="1" applyBorder="1" applyAlignment="1">
      <alignment horizontal="center" vertical="center" wrapText="1"/>
    </xf>
    <xf numFmtId="0" fontId="0" fillId="13" borderId="18" xfId="0" applyFill="1" applyBorder="1" applyAlignment="1">
      <alignment horizontal="center" vertical="center" wrapText="1"/>
    </xf>
    <xf numFmtId="0" fontId="0" fillId="13" borderId="19" xfId="0" applyFill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</cellXfs>
  <cellStyles count="5">
    <cellStyle name="Accent3" xfId="3" builtinId="37"/>
    <cellStyle name="Accent5" xfId="4" builtinId="45"/>
    <cellStyle name="Comma" xfId="1" builtinId="3"/>
    <cellStyle name="Currency" xfId="2" builtinId="4"/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9C12"/>
      <color rgb="FFFFEFA6"/>
      <color rgb="FFFFC70A"/>
      <color rgb="FFDBA50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11" Type="http://schemas.openxmlformats.org/officeDocument/2006/relationships/customXml" Target="../customXml/item3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2.xml"/><Relationship Id="rId4" Type="http://schemas.openxmlformats.org/officeDocument/2006/relationships/styles" Target="styles.xml"/><Relationship Id="rId9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2E6EA-7934-114A-8794-5B3EE029973F}">
  <sheetPr codeName="Sheet1"/>
  <dimension ref="A1:I119"/>
  <sheetViews>
    <sheetView tabSelected="1" topLeftCell="A67" zoomScaleNormal="100" workbookViewId="0">
      <selection activeCell="D107" sqref="D107"/>
    </sheetView>
  </sheetViews>
  <sheetFormatPr baseColWidth="10" defaultColWidth="11" defaultRowHeight="16" x14ac:dyDescent="0.2"/>
  <cols>
    <col min="1" max="1" width="24.6640625" customWidth="1"/>
    <col min="2" max="2" width="25.83203125" bestFit="1" customWidth="1"/>
    <col min="3" max="7" width="16" customWidth="1"/>
    <col min="8" max="8" width="14.83203125" customWidth="1"/>
    <col min="9" max="9" width="7.6640625" customWidth="1"/>
  </cols>
  <sheetData>
    <row r="1" spans="1:9" ht="27" x14ac:dyDescent="0.35">
      <c r="A1" s="2" t="s">
        <v>0</v>
      </c>
      <c r="E1" s="71" t="s">
        <v>1</v>
      </c>
      <c r="F1" s="72"/>
      <c r="G1" s="72"/>
      <c r="H1" s="72"/>
      <c r="I1" s="73"/>
    </row>
    <row r="2" spans="1:9" x14ac:dyDescent="0.2">
      <c r="A2" t="s">
        <v>2</v>
      </c>
      <c r="E2" s="74"/>
      <c r="F2" s="75"/>
      <c r="G2" s="75"/>
      <c r="H2" s="75"/>
      <c r="I2" s="76"/>
    </row>
    <row r="3" spans="1:9" x14ac:dyDescent="0.2">
      <c r="A3" t="s">
        <v>3</v>
      </c>
      <c r="E3" s="77"/>
      <c r="F3" s="78"/>
      <c r="G3" s="78"/>
      <c r="H3" s="78"/>
      <c r="I3" s="79"/>
    </row>
    <row r="5" spans="1:9" ht="22" x14ac:dyDescent="0.3">
      <c r="A5" s="19" t="s">
        <v>4</v>
      </c>
      <c r="B5" s="19"/>
      <c r="C5" s="19"/>
      <c r="D5" s="19"/>
      <c r="E5" s="19"/>
      <c r="F5" s="19"/>
      <c r="G5" s="19"/>
      <c r="H5" s="19"/>
    </row>
    <row r="6" spans="1:9" ht="34" x14ac:dyDescent="0.2">
      <c r="C6" s="24" t="s">
        <v>5</v>
      </c>
      <c r="D6" s="24" t="s">
        <v>6</v>
      </c>
      <c r="E6" s="24" t="s">
        <v>7</v>
      </c>
      <c r="F6" s="24" t="s">
        <v>8</v>
      </c>
      <c r="G6" s="24" t="s">
        <v>9</v>
      </c>
      <c r="H6" s="47" t="s">
        <v>10</v>
      </c>
    </row>
    <row r="7" spans="1:9" x14ac:dyDescent="0.2">
      <c r="A7" t="s">
        <v>11</v>
      </c>
      <c r="B7" t="s">
        <v>12</v>
      </c>
      <c r="C7" s="27"/>
      <c r="D7" s="51"/>
      <c r="E7" s="51"/>
      <c r="F7" s="51"/>
      <c r="G7" s="51"/>
      <c r="H7" s="50" t="b">
        <v>0</v>
      </c>
    </row>
    <row r="8" spans="1:9" x14ac:dyDescent="0.2">
      <c r="A8" t="s">
        <v>13</v>
      </c>
      <c r="B8" t="s">
        <v>12</v>
      </c>
      <c r="C8" s="27"/>
      <c r="D8" s="27"/>
      <c r="E8" s="27"/>
      <c r="F8" s="27"/>
      <c r="G8" s="27"/>
      <c r="H8" s="50" t="b">
        <v>0</v>
      </c>
    </row>
    <row r="9" spans="1:9" x14ac:dyDescent="0.2">
      <c r="A9" t="s">
        <v>14</v>
      </c>
      <c r="B9" t="s">
        <v>12</v>
      </c>
      <c r="C9" s="27"/>
      <c r="D9" s="27"/>
      <c r="E9" s="27"/>
      <c r="F9" s="27"/>
      <c r="G9" s="27"/>
      <c r="H9" s="50" t="b">
        <v>0</v>
      </c>
    </row>
    <row r="10" spans="1:9" x14ac:dyDescent="0.2">
      <c r="A10" t="s">
        <v>15</v>
      </c>
      <c r="B10" t="s">
        <v>84</v>
      </c>
      <c r="C10" s="27"/>
      <c r="D10" s="27"/>
      <c r="E10" s="27"/>
      <c r="F10" s="27"/>
      <c r="G10" s="27"/>
      <c r="H10" s="50" t="b">
        <v>0</v>
      </c>
    </row>
    <row r="11" spans="1:9" x14ac:dyDescent="0.2">
      <c r="B11" t="s">
        <v>83</v>
      </c>
      <c r="C11" s="27"/>
      <c r="D11" s="27"/>
      <c r="E11" s="27"/>
      <c r="F11" s="27"/>
      <c r="G11" s="27"/>
    </row>
    <row r="12" spans="1:9" x14ac:dyDescent="0.2">
      <c r="A12" t="s">
        <v>16</v>
      </c>
      <c r="B12" t="s">
        <v>17</v>
      </c>
      <c r="C12" s="27"/>
      <c r="D12" s="27"/>
      <c r="E12" s="27"/>
      <c r="F12" s="27"/>
      <c r="G12" s="27"/>
    </row>
    <row r="13" spans="1:9" x14ac:dyDescent="0.2">
      <c r="A13" t="s">
        <v>18</v>
      </c>
      <c r="B13" t="s">
        <v>19</v>
      </c>
      <c r="C13" s="27"/>
      <c r="D13" s="27"/>
      <c r="E13" s="27"/>
      <c r="F13" s="27"/>
      <c r="G13" s="27"/>
    </row>
    <row r="14" spans="1:9" x14ac:dyDescent="0.2">
      <c r="B14" t="s">
        <v>20</v>
      </c>
      <c r="C14" s="37">
        <f>ROUND(C13/12,0)</f>
        <v>0</v>
      </c>
      <c r="D14" s="37">
        <f t="shared" ref="D14:G14" si="0">ROUND(D13/12,0)</f>
        <v>0</v>
      </c>
      <c r="E14" s="37">
        <f t="shared" si="0"/>
        <v>0</v>
      </c>
      <c r="F14" s="37">
        <f t="shared" si="0"/>
        <v>0</v>
      </c>
      <c r="G14" s="37">
        <f t="shared" si="0"/>
        <v>0</v>
      </c>
    </row>
    <row r="15" spans="1:9" x14ac:dyDescent="0.2">
      <c r="B15" t="s">
        <v>21</v>
      </c>
      <c r="C15" s="27">
        <f>C13/10</f>
        <v>0</v>
      </c>
      <c r="D15" s="27"/>
      <c r="E15" s="27"/>
      <c r="F15" s="27"/>
      <c r="G15" s="27"/>
    </row>
    <row r="16" spans="1:9" x14ac:dyDescent="0.2">
      <c r="B16" t="s">
        <v>22</v>
      </c>
      <c r="C16" s="37">
        <f>ROUND(C15/12,0)</f>
        <v>0</v>
      </c>
      <c r="D16" s="37">
        <f t="shared" ref="D16" si="1">ROUND(D15/12,0)</f>
        <v>0</v>
      </c>
      <c r="E16" s="37">
        <f t="shared" ref="E16" si="2">ROUND(E15/12,0)</f>
        <v>0</v>
      </c>
      <c r="F16" s="37">
        <f t="shared" ref="F16" si="3">ROUND(F15/12,0)</f>
        <v>0</v>
      </c>
      <c r="G16" s="37">
        <f t="shared" ref="G16" si="4">ROUND(G15/12,0)</f>
        <v>0</v>
      </c>
    </row>
    <row r="17" spans="1:8" x14ac:dyDescent="0.2">
      <c r="A17" t="s">
        <v>23</v>
      </c>
      <c r="C17" s="41">
        <f>((C7+C8+C9+C10*C11)*'Master data'!$B5)+(C12*'Master data'!$B$6*12)+'Master data'!H5+'Master data'!H11</f>
        <v>0</v>
      </c>
      <c r="D17" s="41">
        <f>((D7+D8+D9+D10*D11)*'Master data'!$B5)+(D12*'Master data'!$B$6*12)+'Master data'!I5+'Master data'!I11</f>
        <v>0</v>
      </c>
      <c r="E17" s="41">
        <f>((E7+E8+E9+E10*E11)*'Master data'!$B5)+(E12*'Master data'!$B$6*12)+'Master data'!J5+'Master data'!J11</f>
        <v>0</v>
      </c>
      <c r="F17" s="41">
        <f>((F7+F8+F9+F10*F11)*'Master data'!$B5)+(F12*'Master data'!$B$6*12)+'Master data'!K5+'Master data'!K11</f>
        <v>0</v>
      </c>
      <c r="G17" s="41">
        <f>((G7+G8+G9+G10*G11)*'Master data'!$B5)+(G12*'Master data'!$B$6*12)+'Master data'!L5+'Master data'!L11</f>
        <v>0</v>
      </c>
    </row>
    <row r="19" spans="1:8" ht="22" x14ac:dyDescent="0.3">
      <c r="A19" s="20" t="s">
        <v>24</v>
      </c>
      <c r="B19" s="20"/>
      <c r="C19" s="20"/>
      <c r="D19" s="20"/>
      <c r="E19" s="20"/>
      <c r="F19" s="20"/>
      <c r="G19" s="20"/>
      <c r="H19" s="20"/>
    </row>
    <row r="20" spans="1:8" ht="34" x14ac:dyDescent="0.2">
      <c r="C20" s="24" t="s">
        <v>5</v>
      </c>
      <c r="D20" s="24" t="s">
        <v>6</v>
      </c>
      <c r="E20" s="24" t="s">
        <v>7</v>
      </c>
      <c r="F20" s="24" t="s">
        <v>8</v>
      </c>
      <c r="G20" s="24" t="s">
        <v>9</v>
      </c>
      <c r="H20" s="47" t="s">
        <v>10</v>
      </c>
    </row>
    <row r="21" spans="1:8" x14ac:dyDescent="0.2">
      <c r="A21" t="s">
        <v>11</v>
      </c>
      <c r="B21" t="s">
        <v>12</v>
      </c>
      <c r="C21" s="27"/>
      <c r="D21" s="27"/>
      <c r="E21" s="27"/>
      <c r="F21" s="27"/>
      <c r="G21" s="27"/>
      <c r="H21" s="50" t="b">
        <v>0</v>
      </c>
    </row>
    <row r="22" spans="1:8" x14ac:dyDescent="0.2">
      <c r="A22" t="s">
        <v>13</v>
      </c>
      <c r="B22" t="s">
        <v>12</v>
      </c>
      <c r="C22" s="27"/>
      <c r="D22" s="27"/>
      <c r="E22" s="27"/>
      <c r="F22" s="27"/>
      <c r="G22" s="27"/>
      <c r="H22" s="50" t="b">
        <v>0</v>
      </c>
    </row>
    <row r="23" spans="1:8" x14ac:dyDescent="0.2">
      <c r="A23" t="s">
        <v>14</v>
      </c>
      <c r="B23" t="s">
        <v>12</v>
      </c>
      <c r="C23" s="27"/>
      <c r="D23" s="27"/>
      <c r="E23" s="27"/>
      <c r="F23" s="27"/>
      <c r="G23" s="27"/>
      <c r="H23" s="50" t="b">
        <v>0</v>
      </c>
    </row>
    <row r="24" spans="1:8" x14ac:dyDescent="0.2">
      <c r="A24" t="s">
        <v>15</v>
      </c>
      <c r="B24" t="s">
        <v>84</v>
      </c>
      <c r="C24" s="27"/>
      <c r="D24" s="27"/>
      <c r="E24" s="27"/>
      <c r="F24" s="27"/>
      <c r="G24" s="27"/>
      <c r="H24" s="50" t="b">
        <v>0</v>
      </c>
    </row>
    <row r="25" spans="1:8" x14ac:dyDescent="0.2">
      <c r="B25" t="s">
        <v>83</v>
      </c>
      <c r="C25" s="27"/>
      <c r="D25" s="27"/>
      <c r="E25" s="27"/>
      <c r="F25" s="27"/>
      <c r="G25" s="27"/>
    </row>
    <row r="26" spans="1:8" x14ac:dyDescent="0.2">
      <c r="A26" t="s">
        <v>25</v>
      </c>
      <c r="B26" t="s">
        <v>19</v>
      </c>
      <c r="C26" s="27"/>
      <c r="D26" s="27"/>
      <c r="E26" s="27"/>
      <c r="F26" s="27"/>
      <c r="G26" s="27"/>
    </row>
    <row r="27" spans="1:8" x14ac:dyDescent="0.2">
      <c r="B27" t="s">
        <v>20</v>
      </c>
      <c r="C27" s="37">
        <f>ROUND(C26/12,0)</f>
        <v>0</v>
      </c>
      <c r="D27" s="37">
        <f t="shared" ref="D27" si="5">ROUND(D26/12,0)</f>
        <v>0</v>
      </c>
      <c r="E27" s="37">
        <f t="shared" ref="E27" si="6">ROUND(E26/12,0)</f>
        <v>0</v>
      </c>
      <c r="F27" s="37">
        <f t="shared" ref="F27" si="7">ROUND(F26/12,0)</f>
        <v>0</v>
      </c>
      <c r="G27" s="37">
        <f t="shared" ref="G27" si="8">ROUND(G26/12,0)</f>
        <v>0</v>
      </c>
    </row>
    <row r="28" spans="1:8" x14ac:dyDescent="0.2">
      <c r="B28" t="s">
        <v>21</v>
      </c>
      <c r="C28" s="27">
        <f>C26/10</f>
        <v>0</v>
      </c>
      <c r="D28" s="27">
        <f t="shared" ref="D28:E28" si="9">D26/5</f>
        <v>0</v>
      </c>
      <c r="E28" s="27">
        <f t="shared" si="9"/>
        <v>0</v>
      </c>
      <c r="F28" s="27"/>
      <c r="G28" s="27"/>
    </row>
    <row r="29" spans="1:8" x14ac:dyDescent="0.2">
      <c r="B29" t="s">
        <v>22</v>
      </c>
      <c r="C29" s="37">
        <f>ROUND(C28/12,0)</f>
        <v>0</v>
      </c>
      <c r="D29" s="37">
        <f t="shared" ref="D29" si="10">ROUND(D28/12,0)</f>
        <v>0</v>
      </c>
      <c r="E29" s="37">
        <f t="shared" ref="E29" si="11">ROUND(E28/12,0)</f>
        <v>0</v>
      </c>
      <c r="F29" s="37">
        <f t="shared" ref="F29" si="12">ROUND(F28/12,0)</f>
        <v>0</v>
      </c>
      <c r="G29" s="37">
        <f t="shared" ref="G29" si="13">ROUND(G28/12,0)</f>
        <v>0</v>
      </c>
    </row>
    <row r="30" spans="1:8" x14ac:dyDescent="0.2">
      <c r="A30" t="s">
        <v>23</v>
      </c>
      <c r="C30" s="41">
        <f>((C21+C22+C23+C24*C25)*'Master data'!$B22)+'Master data'!H22+'Master data'!H27</f>
        <v>0</v>
      </c>
      <c r="D30" s="41">
        <f>((D21+D22+D23+D24*D25)*'Master data'!$B22)+'Master data'!I22+'Master data'!I27</f>
        <v>0</v>
      </c>
      <c r="E30" s="41">
        <f>((E21+E22+E23+E24*E25)*'Master data'!$B22)+'Master data'!J22+'Master data'!J27</f>
        <v>0</v>
      </c>
      <c r="F30" s="41">
        <f>((F21+F22+F23+F24*F25)*'Master data'!$B22)+'Master data'!K22+'Master data'!K27</f>
        <v>0</v>
      </c>
      <c r="G30" s="41">
        <f>((G21+G22+G23+G24*G25)*'Master data'!$B22)+'Master data'!L22+'Master data'!L27</f>
        <v>0</v>
      </c>
    </row>
    <row r="32" spans="1:8" ht="22" x14ac:dyDescent="0.3">
      <c r="A32" s="21" t="s">
        <v>26</v>
      </c>
      <c r="B32" s="21"/>
      <c r="C32" s="21"/>
      <c r="D32" s="21"/>
      <c r="E32" s="21"/>
      <c r="F32" s="21"/>
      <c r="G32" s="21"/>
      <c r="H32" s="53"/>
    </row>
    <row r="33" spans="1:8" ht="34" x14ac:dyDescent="0.2">
      <c r="C33" s="24" t="s">
        <v>5</v>
      </c>
      <c r="D33" s="24" t="s">
        <v>6</v>
      </c>
      <c r="E33" s="24" t="s">
        <v>7</v>
      </c>
      <c r="F33" s="24" t="s">
        <v>8</v>
      </c>
      <c r="G33" s="24" t="s">
        <v>9</v>
      </c>
      <c r="H33" s="54" t="s">
        <v>10</v>
      </c>
    </row>
    <row r="34" spans="1:8" x14ac:dyDescent="0.2">
      <c r="A34" t="s">
        <v>11</v>
      </c>
      <c r="B34" t="s">
        <v>12</v>
      </c>
      <c r="C34" s="51"/>
      <c r="D34" s="27"/>
      <c r="E34" s="27"/>
      <c r="F34" s="27"/>
      <c r="G34" s="27"/>
      <c r="H34" s="55" t="b">
        <v>0</v>
      </c>
    </row>
    <row r="35" spans="1:8" x14ac:dyDescent="0.2">
      <c r="A35" t="s">
        <v>13</v>
      </c>
      <c r="B35" t="s">
        <v>12</v>
      </c>
      <c r="C35" s="51"/>
      <c r="D35" s="27"/>
      <c r="E35" s="27"/>
      <c r="F35" s="27"/>
      <c r="G35" s="27"/>
      <c r="H35" s="55" t="b">
        <v>0</v>
      </c>
    </row>
    <row r="36" spans="1:8" x14ac:dyDescent="0.2">
      <c r="A36" t="s">
        <v>14</v>
      </c>
      <c r="B36" t="s">
        <v>12</v>
      </c>
      <c r="C36" s="51"/>
      <c r="D36" s="27"/>
      <c r="E36" s="27"/>
      <c r="F36" s="27"/>
      <c r="G36" s="27"/>
      <c r="H36" s="55" t="b">
        <v>0</v>
      </c>
    </row>
    <row r="37" spans="1:8" x14ac:dyDescent="0.2">
      <c r="A37" t="s">
        <v>15</v>
      </c>
      <c r="B37" t="s">
        <v>84</v>
      </c>
      <c r="C37" s="27"/>
      <c r="D37" s="27"/>
      <c r="E37" s="27"/>
      <c r="F37" s="27"/>
      <c r="G37" s="27"/>
      <c r="H37" s="55" t="b">
        <v>0</v>
      </c>
    </row>
    <row r="38" spans="1:8" x14ac:dyDescent="0.2">
      <c r="B38" t="s">
        <v>83</v>
      </c>
      <c r="C38" s="27"/>
      <c r="D38" s="27"/>
      <c r="E38" s="27"/>
      <c r="F38" s="27"/>
      <c r="G38" s="27"/>
      <c r="H38" s="56"/>
    </row>
    <row r="39" spans="1:8" x14ac:dyDescent="0.2">
      <c r="A39" t="s">
        <v>27</v>
      </c>
      <c r="B39" t="s">
        <v>19</v>
      </c>
      <c r="C39" s="51"/>
      <c r="D39" s="27"/>
      <c r="E39" s="27"/>
      <c r="F39" s="27"/>
      <c r="G39" s="27"/>
      <c r="H39" s="56"/>
    </row>
    <row r="40" spans="1:8" x14ac:dyDescent="0.2">
      <c r="B40" t="s">
        <v>20</v>
      </c>
      <c r="C40" s="37">
        <f>ROUND(C39/12,0)</f>
        <v>0</v>
      </c>
      <c r="D40" s="37">
        <f t="shared" ref="D40" si="14">ROUND(D39/12,0)</f>
        <v>0</v>
      </c>
      <c r="E40" s="37">
        <f t="shared" ref="E40" si="15">ROUND(E39/12,0)</f>
        <v>0</v>
      </c>
      <c r="F40" s="37">
        <f t="shared" ref="F40" si="16">ROUND(F39/12,0)</f>
        <v>0</v>
      </c>
      <c r="G40" s="37">
        <f t="shared" ref="G40" si="17">ROUND(G39/12,0)</f>
        <v>0</v>
      </c>
      <c r="H40" s="56"/>
    </row>
    <row r="41" spans="1:8" x14ac:dyDescent="0.2">
      <c r="B41" t="s">
        <v>21</v>
      </c>
      <c r="C41" s="27">
        <f>C39/10</f>
        <v>0</v>
      </c>
      <c r="D41" s="27"/>
      <c r="E41" s="27"/>
      <c r="F41" s="27"/>
      <c r="G41" s="27"/>
      <c r="H41" s="56"/>
    </row>
    <row r="42" spans="1:8" x14ac:dyDescent="0.2">
      <c r="B42" t="s">
        <v>22</v>
      </c>
      <c r="C42" s="37">
        <f>ROUND(C41/12,0)</f>
        <v>0</v>
      </c>
      <c r="D42" s="37">
        <f t="shared" ref="D42" si="18">ROUND(D41/12,0)</f>
        <v>0</v>
      </c>
      <c r="E42" s="37">
        <f t="shared" ref="E42" si="19">ROUND(E41/12,0)</f>
        <v>0</v>
      </c>
      <c r="F42" s="37">
        <f t="shared" ref="F42" si="20">ROUND(F41/12,0)</f>
        <v>0</v>
      </c>
      <c r="G42" s="37">
        <f t="shared" ref="G42" si="21">ROUND(G41/12,0)</f>
        <v>0</v>
      </c>
      <c r="H42" s="56"/>
    </row>
    <row r="43" spans="1:8" x14ac:dyDescent="0.2">
      <c r="A43" t="s">
        <v>28</v>
      </c>
      <c r="B43" t="s">
        <v>19</v>
      </c>
      <c r="C43" s="27"/>
      <c r="D43" s="27"/>
      <c r="E43" s="27"/>
      <c r="F43" s="27"/>
      <c r="G43" s="27"/>
      <c r="H43" s="56"/>
    </row>
    <row r="44" spans="1:8" x14ac:dyDescent="0.2">
      <c r="B44" t="s">
        <v>20</v>
      </c>
      <c r="C44" s="37">
        <f>ROUND(C43/12,0)</f>
        <v>0</v>
      </c>
      <c r="D44" s="37">
        <f t="shared" ref="D44:G44" si="22">ROUND(D43/12,0)</f>
        <v>0</v>
      </c>
      <c r="E44" s="37">
        <f t="shared" si="22"/>
        <v>0</v>
      </c>
      <c r="F44" s="37">
        <f t="shared" si="22"/>
        <v>0</v>
      </c>
      <c r="G44" s="37">
        <f t="shared" si="22"/>
        <v>0</v>
      </c>
      <c r="H44" s="56"/>
    </row>
    <row r="45" spans="1:8" x14ac:dyDescent="0.2">
      <c r="B45" t="s">
        <v>21</v>
      </c>
      <c r="C45" s="27">
        <f>C43/10</f>
        <v>0</v>
      </c>
      <c r="D45" s="27"/>
      <c r="E45" s="27"/>
      <c r="F45" s="27"/>
      <c r="G45" s="27"/>
      <c r="H45" s="56"/>
    </row>
    <row r="46" spans="1:8" x14ac:dyDescent="0.2">
      <c r="B46" t="s">
        <v>22</v>
      </c>
      <c r="C46" s="37">
        <f>ROUND(C45/12,0)</f>
        <v>0</v>
      </c>
      <c r="D46" s="37">
        <f t="shared" ref="D46:G46" si="23">ROUND(D45/12,0)</f>
        <v>0</v>
      </c>
      <c r="E46" s="37">
        <f t="shared" si="23"/>
        <v>0</v>
      </c>
      <c r="F46" s="37">
        <f t="shared" si="23"/>
        <v>0</v>
      </c>
      <c r="G46" s="37">
        <f t="shared" si="23"/>
        <v>0</v>
      </c>
      <c r="H46" s="56"/>
    </row>
    <row r="47" spans="1:8" x14ac:dyDescent="0.2">
      <c r="A47" t="s">
        <v>23</v>
      </c>
      <c r="C47" s="41">
        <f>((C34+C35+C36+C37*C38)*'Master data'!$B37)+'Master data'!H37+'Master data'!H42+'Master data'!H49+'Master data'!H54</f>
        <v>0</v>
      </c>
      <c r="D47" s="41">
        <f>((D34+D35+D36+D37*D38)*'Master data'!$B37)+'Master data'!I37+'Master data'!I42+'Master data'!I49+'Master data'!I54</f>
        <v>0</v>
      </c>
      <c r="E47" s="41">
        <f>((E34+E35+E36+E37*E38)*'Master data'!$B37)+'Master data'!J37+'Master data'!J42+'Master data'!J49+'Master data'!J54</f>
        <v>0</v>
      </c>
      <c r="F47" s="41">
        <f>((F34+F35+F36+F37*F38)*'Master data'!$B37)+'Master data'!K37+'Master data'!K42+'Master data'!K49+'Master data'!K54</f>
        <v>0</v>
      </c>
      <c r="G47" s="41">
        <f>((G34+G35+G36+G37*G38)*'Master data'!$B37)+'Master data'!L37+'Master data'!L42+'Master data'!L49+'Master data'!L54</f>
        <v>0</v>
      </c>
      <c r="H47" s="56"/>
    </row>
    <row r="48" spans="1:8" x14ac:dyDescent="0.2">
      <c r="H48" s="56"/>
    </row>
    <row r="49" spans="1:8" ht="22" x14ac:dyDescent="0.3">
      <c r="A49" s="22" t="s">
        <v>29</v>
      </c>
      <c r="B49" s="22"/>
      <c r="C49" s="22"/>
      <c r="D49" s="22"/>
      <c r="E49" s="22"/>
      <c r="F49" s="22"/>
      <c r="G49" s="22"/>
      <c r="H49" s="53"/>
    </row>
    <row r="50" spans="1:8" ht="34" x14ac:dyDescent="0.2">
      <c r="C50" s="24" t="s">
        <v>5</v>
      </c>
      <c r="D50" s="24" t="s">
        <v>6</v>
      </c>
      <c r="E50" s="24" t="s">
        <v>7</v>
      </c>
      <c r="F50" s="24" t="s">
        <v>8</v>
      </c>
      <c r="G50" s="24" t="s">
        <v>9</v>
      </c>
      <c r="H50" s="54" t="s">
        <v>10</v>
      </c>
    </row>
    <row r="51" spans="1:8" x14ac:dyDescent="0.2">
      <c r="A51" t="s">
        <v>11</v>
      </c>
      <c r="B51" t="s">
        <v>12</v>
      </c>
      <c r="C51" s="27"/>
      <c r="D51" s="27"/>
      <c r="E51" s="27"/>
      <c r="F51" s="27"/>
      <c r="G51" s="27"/>
      <c r="H51" s="55" t="b">
        <v>0</v>
      </c>
    </row>
    <row r="52" spans="1:8" x14ac:dyDescent="0.2">
      <c r="A52" t="s">
        <v>13</v>
      </c>
      <c r="B52" t="s">
        <v>12</v>
      </c>
      <c r="C52" s="27"/>
      <c r="D52" s="27"/>
      <c r="E52" s="27"/>
      <c r="F52" s="27"/>
      <c r="G52" s="27"/>
      <c r="H52" s="55" t="b">
        <v>0</v>
      </c>
    </row>
    <row r="53" spans="1:8" x14ac:dyDescent="0.2">
      <c r="A53" t="s">
        <v>14</v>
      </c>
      <c r="B53" t="s">
        <v>12</v>
      </c>
      <c r="C53" s="27"/>
      <c r="D53" s="27"/>
      <c r="E53" s="27"/>
      <c r="F53" s="27"/>
      <c r="G53" s="27"/>
      <c r="H53" s="55" t="b">
        <v>0</v>
      </c>
    </row>
    <row r="54" spans="1:8" x14ac:dyDescent="0.2">
      <c r="A54" t="s">
        <v>15</v>
      </c>
      <c r="B54" t="s">
        <v>84</v>
      </c>
      <c r="C54" s="27"/>
      <c r="D54" s="27"/>
      <c r="E54" s="27"/>
      <c r="F54" s="27"/>
      <c r="G54" s="27"/>
      <c r="H54" s="55" t="b">
        <v>0</v>
      </c>
    </row>
    <row r="55" spans="1:8" x14ac:dyDescent="0.2">
      <c r="B55" t="s">
        <v>83</v>
      </c>
      <c r="C55" s="27"/>
      <c r="D55" s="27"/>
      <c r="E55" s="27"/>
      <c r="F55" s="27"/>
      <c r="G55" s="27"/>
      <c r="H55" s="56"/>
    </row>
    <row r="56" spans="1:8" x14ac:dyDescent="0.2">
      <c r="A56" t="s">
        <v>30</v>
      </c>
      <c r="B56" t="s">
        <v>19</v>
      </c>
      <c r="C56" s="27"/>
      <c r="D56" s="27"/>
      <c r="E56" s="27"/>
      <c r="F56" s="27"/>
      <c r="G56" s="27"/>
      <c r="H56" s="56"/>
    </row>
    <row r="57" spans="1:8" x14ac:dyDescent="0.2">
      <c r="B57" t="s">
        <v>20</v>
      </c>
      <c r="C57" s="37">
        <f>ROUND(C56/12,0)</f>
        <v>0</v>
      </c>
      <c r="D57" s="37">
        <f t="shared" ref="D57" si="24">ROUND(D56/12,0)</f>
        <v>0</v>
      </c>
      <c r="E57" s="37">
        <f t="shared" ref="E57" si="25">ROUND(E56/12,0)</f>
        <v>0</v>
      </c>
      <c r="F57" s="37">
        <f t="shared" ref="F57" si="26">ROUND(F56/12,0)</f>
        <v>0</v>
      </c>
      <c r="G57" s="37">
        <f t="shared" ref="G57" si="27">ROUND(G56/12,0)</f>
        <v>0</v>
      </c>
      <c r="H57" s="56"/>
    </row>
    <row r="58" spans="1:8" x14ac:dyDescent="0.2">
      <c r="B58" t="s">
        <v>21</v>
      </c>
      <c r="C58" s="27"/>
      <c r="D58" s="27"/>
      <c r="E58" s="27"/>
      <c r="F58" s="27"/>
      <c r="G58" s="27"/>
      <c r="H58" s="56"/>
    </row>
    <row r="59" spans="1:8" x14ac:dyDescent="0.2">
      <c r="B59" t="s">
        <v>22</v>
      </c>
      <c r="C59" s="37">
        <f>ROUND(C58/12,0)</f>
        <v>0</v>
      </c>
      <c r="D59" s="37">
        <f t="shared" ref="D59" si="28">ROUND(D58/12,0)</f>
        <v>0</v>
      </c>
      <c r="E59" s="37">
        <f t="shared" ref="E59" si="29">ROUND(E58/12,0)</f>
        <v>0</v>
      </c>
      <c r="F59" s="37">
        <f t="shared" ref="F59" si="30">ROUND(F58/12,0)</f>
        <v>0</v>
      </c>
      <c r="G59" s="37">
        <f t="shared" ref="G59" si="31">ROUND(G58/12,0)</f>
        <v>0</v>
      </c>
      <c r="H59" s="56"/>
    </row>
    <row r="60" spans="1:8" x14ac:dyDescent="0.2">
      <c r="A60" t="s">
        <v>23</v>
      </c>
      <c r="C60" s="41">
        <f>((C51+C52+C53+C54*C55)*'Master data'!$B63)+'Master data'!H63+'Master data'!H68</f>
        <v>0</v>
      </c>
      <c r="D60" s="41">
        <f>((D51+D52+D53+D54*D55)*'Master data'!$B63)+'Master data'!I63+'Master data'!I68</f>
        <v>0</v>
      </c>
      <c r="E60" s="41">
        <f>((E51+E52+E53+E54*E55)*'Master data'!$B63)+'Master data'!J63+'Master data'!J68</f>
        <v>0</v>
      </c>
      <c r="F60" s="41">
        <f>((F51+F52+F53+F54*F55)*'Master data'!$B63)+'Master data'!K63+'Master data'!K68</f>
        <v>0</v>
      </c>
      <c r="G60" s="41">
        <f>((G51+G52+G53+G54*G55)*'Master data'!$B63)+'Master data'!L63+'Master data'!L68</f>
        <v>0</v>
      </c>
      <c r="H60" s="56"/>
    </row>
    <row r="61" spans="1:8" x14ac:dyDescent="0.2">
      <c r="H61" s="56"/>
    </row>
    <row r="62" spans="1:8" ht="22" x14ac:dyDescent="0.3">
      <c r="A62" s="35" t="s">
        <v>31</v>
      </c>
      <c r="B62" s="35"/>
      <c r="C62" s="35"/>
      <c r="D62" s="35"/>
      <c r="E62" s="35"/>
      <c r="F62" s="35"/>
      <c r="G62" s="35"/>
      <c r="H62" s="53"/>
    </row>
    <row r="63" spans="1:8" ht="34" x14ac:dyDescent="0.2">
      <c r="C63" s="24" t="s">
        <v>5</v>
      </c>
      <c r="D63" s="24" t="s">
        <v>6</v>
      </c>
      <c r="E63" s="24" t="s">
        <v>7</v>
      </c>
      <c r="F63" s="24" t="s">
        <v>8</v>
      </c>
      <c r="G63" s="24" t="s">
        <v>9</v>
      </c>
      <c r="H63" s="54" t="s">
        <v>10</v>
      </c>
    </row>
    <row r="64" spans="1:8" x14ac:dyDescent="0.2">
      <c r="A64" t="s">
        <v>11</v>
      </c>
      <c r="B64" t="s">
        <v>12</v>
      </c>
      <c r="C64" s="27"/>
      <c r="D64" s="27"/>
      <c r="E64" s="27"/>
      <c r="F64" s="27"/>
      <c r="G64" s="27"/>
      <c r="H64" s="55" t="b">
        <v>0</v>
      </c>
    </row>
    <row r="65" spans="1:8" x14ac:dyDescent="0.2">
      <c r="A65" t="s">
        <v>13</v>
      </c>
      <c r="B65" t="s">
        <v>12</v>
      </c>
      <c r="C65" s="27"/>
      <c r="D65" s="27"/>
      <c r="E65" s="27"/>
      <c r="F65" s="27"/>
      <c r="G65" s="27"/>
      <c r="H65" s="55" t="b">
        <v>0</v>
      </c>
    </row>
    <row r="66" spans="1:8" x14ac:dyDescent="0.2">
      <c r="A66" t="s">
        <v>14</v>
      </c>
      <c r="B66" t="s">
        <v>12</v>
      </c>
      <c r="C66" s="27"/>
      <c r="D66" s="27"/>
      <c r="E66" s="27"/>
      <c r="F66" s="27"/>
      <c r="G66" s="27"/>
      <c r="H66" s="55" t="b">
        <v>0</v>
      </c>
    </row>
    <row r="67" spans="1:8" x14ac:dyDescent="0.2">
      <c r="A67" t="s">
        <v>15</v>
      </c>
      <c r="B67" t="s">
        <v>84</v>
      </c>
      <c r="C67" s="27"/>
      <c r="D67" s="27"/>
      <c r="E67" s="27"/>
      <c r="F67" s="27"/>
      <c r="G67" s="27"/>
      <c r="H67" s="55" t="b">
        <v>0</v>
      </c>
    </row>
    <row r="68" spans="1:8" x14ac:dyDescent="0.2">
      <c r="B68" t="s">
        <v>83</v>
      </c>
      <c r="C68" s="27"/>
      <c r="D68" s="27"/>
      <c r="E68" s="27"/>
      <c r="F68" s="27"/>
      <c r="G68" s="27"/>
      <c r="H68" s="56"/>
    </row>
    <row r="69" spans="1:8" x14ac:dyDescent="0.2">
      <c r="A69" t="s">
        <v>32</v>
      </c>
      <c r="B69" t="s">
        <v>19</v>
      </c>
      <c r="C69" s="27"/>
      <c r="D69" s="27"/>
      <c r="E69" s="27"/>
      <c r="F69" s="27"/>
      <c r="G69" s="27"/>
      <c r="H69" s="56"/>
    </row>
    <row r="70" spans="1:8" x14ac:dyDescent="0.2">
      <c r="B70" t="s">
        <v>20</v>
      </c>
      <c r="C70" s="37">
        <f>ROUND(C69/12,0)</f>
        <v>0</v>
      </c>
      <c r="D70" s="37">
        <f t="shared" ref="D70" si="32">ROUND(D69/12,0)</f>
        <v>0</v>
      </c>
      <c r="E70" s="37">
        <f t="shared" ref="E70" si="33">ROUND(E69/12,0)</f>
        <v>0</v>
      </c>
      <c r="F70" s="37">
        <f t="shared" ref="F70" si="34">ROUND(F69/12,0)</f>
        <v>0</v>
      </c>
      <c r="G70" s="37">
        <f t="shared" ref="G70" si="35">ROUND(G69/12,0)</f>
        <v>0</v>
      </c>
      <c r="H70" s="56"/>
    </row>
    <row r="71" spans="1:8" x14ac:dyDescent="0.2">
      <c r="B71" t="s">
        <v>21</v>
      </c>
      <c r="C71" s="27"/>
      <c r="D71" s="27"/>
      <c r="E71" s="27"/>
      <c r="F71" s="27"/>
      <c r="G71" s="27"/>
      <c r="H71" s="56"/>
    </row>
    <row r="72" spans="1:8" x14ac:dyDescent="0.2">
      <c r="B72" t="s">
        <v>22</v>
      </c>
      <c r="C72" s="37">
        <f>ROUND(C71/12,0)</f>
        <v>0</v>
      </c>
      <c r="D72" s="37">
        <f t="shared" ref="D72" si="36">ROUND(D71/12,0)</f>
        <v>0</v>
      </c>
      <c r="E72" s="37">
        <f t="shared" ref="E72" si="37">ROUND(E71/12,0)</f>
        <v>0</v>
      </c>
      <c r="F72" s="37">
        <f t="shared" ref="F72" si="38">ROUND(F71/12,0)</f>
        <v>0</v>
      </c>
      <c r="G72" s="37">
        <f t="shared" ref="G72" si="39">ROUND(G71/12,0)</f>
        <v>0</v>
      </c>
      <c r="H72" s="56"/>
    </row>
    <row r="73" spans="1:8" x14ac:dyDescent="0.2">
      <c r="A73" t="s">
        <v>23</v>
      </c>
      <c r="C73" s="41">
        <f>((C64+C65+C66+C67*C68)*'Master data'!$B78)+'Master data'!H78+'Master data'!H83</f>
        <v>0</v>
      </c>
      <c r="D73" s="41">
        <f>((D64+D65+D66+D67*D68)*'Master data'!$B78)+'Master data'!I78+'Master data'!I83</f>
        <v>0</v>
      </c>
      <c r="E73" s="41">
        <f>((E64+E65+E66+E67*E68)*'Master data'!$B78)+'Master data'!J78+'Master data'!J83</f>
        <v>0</v>
      </c>
      <c r="F73" s="41">
        <f>((F64+F65+F66+F67*F68)*'Master data'!$B78)+'Master data'!K78+'Master data'!K83</f>
        <v>0</v>
      </c>
      <c r="G73" s="41">
        <f>((G64+G65+G66+G67*G68)*'Master data'!$B78)+'Master data'!L78+'Master data'!L83</f>
        <v>0</v>
      </c>
      <c r="H73" s="56"/>
    </row>
    <row r="74" spans="1:8" x14ac:dyDescent="0.2">
      <c r="H74" s="56"/>
    </row>
    <row r="75" spans="1:8" ht="22" x14ac:dyDescent="0.3">
      <c r="A75" s="46" t="s">
        <v>33</v>
      </c>
      <c r="B75" s="45"/>
      <c r="C75" s="45"/>
      <c r="D75" s="45"/>
      <c r="E75" s="45"/>
      <c r="F75" s="45"/>
      <c r="G75" s="45"/>
      <c r="H75" s="57"/>
    </row>
    <row r="76" spans="1:8" ht="34" x14ac:dyDescent="0.2">
      <c r="C76" s="24" t="s">
        <v>5</v>
      </c>
      <c r="D76" s="24" t="s">
        <v>6</v>
      </c>
      <c r="E76" s="24" t="s">
        <v>7</v>
      </c>
      <c r="F76" s="24" t="s">
        <v>8</v>
      </c>
      <c r="G76" s="24" t="s">
        <v>9</v>
      </c>
      <c r="H76" s="54" t="s">
        <v>10</v>
      </c>
    </row>
    <row r="77" spans="1:8" x14ac:dyDescent="0.2">
      <c r="A77" t="s">
        <v>11</v>
      </c>
      <c r="B77" t="s">
        <v>12</v>
      </c>
      <c r="C77" s="27"/>
      <c r="D77" s="27"/>
      <c r="E77" s="27"/>
      <c r="F77" s="27"/>
      <c r="G77" s="27"/>
      <c r="H77" s="55" t="b">
        <v>0</v>
      </c>
    </row>
    <row r="78" spans="1:8" x14ac:dyDescent="0.2">
      <c r="A78" t="s">
        <v>13</v>
      </c>
      <c r="B78" t="s">
        <v>12</v>
      </c>
      <c r="C78" s="27"/>
      <c r="D78" s="27"/>
      <c r="E78" s="27"/>
      <c r="F78" s="27"/>
      <c r="G78" s="27"/>
      <c r="H78" s="55" t="b">
        <v>0</v>
      </c>
    </row>
    <row r="79" spans="1:8" x14ac:dyDescent="0.2">
      <c r="A79" t="s">
        <v>14</v>
      </c>
      <c r="B79" t="s">
        <v>12</v>
      </c>
      <c r="C79" s="27"/>
      <c r="D79" s="27"/>
      <c r="E79" s="27"/>
      <c r="F79" s="27"/>
      <c r="G79" s="27"/>
      <c r="H79" s="55" t="b">
        <v>0</v>
      </c>
    </row>
    <row r="80" spans="1:8" x14ac:dyDescent="0.2">
      <c r="A80" t="s">
        <v>15</v>
      </c>
      <c r="B80" t="s">
        <v>84</v>
      </c>
      <c r="C80" s="27"/>
      <c r="D80" s="27"/>
      <c r="E80" s="27"/>
      <c r="F80" s="27"/>
      <c r="G80" s="27"/>
      <c r="H80" s="55" t="b">
        <v>0</v>
      </c>
    </row>
    <row r="81" spans="1:8" x14ac:dyDescent="0.2">
      <c r="B81" t="s">
        <v>83</v>
      </c>
      <c r="C81" s="27"/>
      <c r="D81" s="27"/>
      <c r="E81" s="27"/>
      <c r="F81" s="27"/>
      <c r="G81" s="27"/>
      <c r="H81" s="56"/>
    </row>
    <row r="82" spans="1:8" x14ac:dyDescent="0.2">
      <c r="A82" t="s">
        <v>34</v>
      </c>
      <c r="B82" t="s">
        <v>19</v>
      </c>
      <c r="C82" s="27"/>
      <c r="D82" s="27"/>
      <c r="E82" s="27"/>
      <c r="F82" s="27"/>
      <c r="G82" s="27"/>
      <c r="H82" s="52"/>
    </row>
    <row r="83" spans="1:8" x14ac:dyDescent="0.2">
      <c r="B83" t="s">
        <v>20</v>
      </c>
      <c r="C83" s="37">
        <f>ROUND(C82/12,0)</f>
        <v>0</v>
      </c>
      <c r="D83" s="37">
        <f t="shared" ref="D83:G83" si="40">ROUND(D82/12,0)</f>
        <v>0</v>
      </c>
      <c r="E83" s="37">
        <f t="shared" si="40"/>
        <v>0</v>
      </c>
      <c r="F83" s="37">
        <f t="shared" si="40"/>
        <v>0</v>
      </c>
      <c r="G83" s="37">
        <f t="shared" si="40"/>
        <v>0</v>
      </c>
    </row>
    <row r="84" spans="1:8" x14ac:dyDescent="0.2">
      <c r="B84" t="s">
        <v>21</v>
      </c>
      <c r="C84" s="27"/>
      <c r="D84" s="27"/>
      <c r="E84" s="27"/>
      <c r="F84" s="27"/>
      <c r="G84" s="27"/>
    </row>
    <row r="85" spans="1:8" x14ac:dyDescent="0.2">
      <c r="B85" t="s">
        <v>22</v>
      </c>
      <c r="C85" s="37">
        <f>ROUND(C84/12,0)</f>
        <v>0</v>
      </c>
      <c r="D85" s="37">
        <f t="shared" ref="D85:G85" si="41">ROUND(D84/12,0)</f>
        <v>0</v>
      </c>
      <c r="E85" s="37">
        <f t="shared" si="41"/>
        <v>0</v>
      </c>
      <c r="F85" s="37">
        <f t="shared" si="41"/>
        <v>0</v>
      </c>
      <c r="G85" s="37">
        <f t="shared" si="41"/>
        <v>0</v>
      </c>
    </row>
    <row r="86" spans="1:8" x14ac:dyDescent="0.2">
      <c r="A86" t="s">
        <v>23</v>
      </c>
      <c r="C86" s="41">
        <f>((C77+C78+C79+C80*C81)*'Master data'!$B98)+'Master data'!H98+'Master data'!H103</f>
        <v>0</v>
      </c>
      <c r="D86" s="41">
        <f>((D77+D78+D79+D80*D81)*'Master data'!$B98)+'Master data'!I98+'Master data'!I103</f>
        <v>0</v>
      </c>
      <c r="E86" s="41">
        <f>((E77+E78+E79+E80*E81)*'Master data'!$B98)+'Master data'!J98+'Master data'!J103</f>
        <v>0</v>
      </c>
      <c r="F86" s="41">
        <f>((F77+F78+F79+F80*F81)*'Master data'!$B98)+'Master data'!K98+'Master data'!K103</f>
        <v>0</v>
      </c>
      <c r="G86" s="41">
        <f>((G77+G78+G79+G80*G81)*'Master data'!$B98)+'Master data'!L98+'Master data'!L103</f>
        <v>0</v>
      </c>
    </row>
    <row r="88" spans="1:8" ht="22" x14ac:dyDescent="0.3">
      <c r="A88" s="36" t="s">
        <v>35</v>
      </c>
      <c r="B88" s="36"/>
      <c r="C88" s="36"/>
      <c r="D88" s="36"/>
      <c r="E88" s="36"/>
      <c r="F88" s="36"/>
      <c r="G88" s="36"/>
    </row>
    <row r="89" spans="1:8" x14ac:dyDescent="0.2">
      <c r="C89" s="24" t="s">
        <v>5</v>
      </c>
      <c r="D89" s="24" t="s">
        <v>6</v>
      </c>
      <c r="E89" s="24" t="s">
        <v>7</v>
      </c>
      <c r="F89" s="24" t="s">
        <v>8</v>
      </c>
      <c r="G89" s="24" t="s">
        <v>9</v>
      </c>
    </row>
    <row r="90" spans="1:8" x14ac:dyDescent="0.2">
      <c r="A90" t="s">
        <v>36</v>
      </c>
      <c r="B90" t="s">
        <v>37</v>
      </c>
      <c r="C90" s="27"/>
      <c r="D90" s="27"/>
      <c r="E90" s="27"/>
      <c r="F90" s="27"/>
      <c r="G90" s="27"/>
    </row>
    <row r="91" spans="1:8" x14ac:dyDescent="0.2">
      <c r="A91" t="s">
        <v>23</v>
      </c>
      <c r="C91" s="3">
        <f>'Master data'!H91*12</f>
        <v>0</v>
      </c>
      <c r="D91" s="3">
        <f>'Master data'!I91*12</f>
        <v>0</v>
      </c>
      <c r="E91" s="3">
        <f>'Master data'!J91*12</f>
        <v>0</v>
      </c>
      <c r="F91" s="3">
        <f>'Master data'!K91*12</f>
        <v>0</v>
      </c>
      <c r="G91" s="3">
        <f>'Master data'!L91*12</f>
        <v>0</v>
      </c>
    </row>
    <row r="93" spans="1:8" ht="22" x14ac:dyDescent="0.3">
      <c r="A93" s="70" t="s">
        <v>38</v>
      </c>
      <c r="B93" s="48"/>
      <c r="C93" s="48"/>
      <c r="D93" s="48"/>
      <c r="E93" s="48"/>
      <c r="F93" s="48"/>
      <c r="G93" s="48"/>
    </row>
    <row r="94" spans="1:8" x14ac:dyDescent="0.2">
      <c r="C94" s="24" t="s">
        <v>5</v>
      </c>
      <c r="D94" s="24" t="s">
        <v>6</v>
      </c>
      <c r="E94" s="24" t="s">
        <v>7</v>
      </c>
      <c r="F94" s="24" t="s">
        <v>8</v>
      </c>
      <c r="G94" s="24" t="s">
        <v>9</v>
      </c>
    </row>
    <row r="95" spans="1:8" x14ac:dyDescent="0.2">
      <c r="A95" t="s">
        <v>23</v>
      </c>
      <c r="C95" s="3">
        <f>'Master data'!H$125</f>
        <v>0</v>
      </c>
      <c r="D95" s="3"/>
      <c r="E95" s="3">
        <f>'Master data'!J$125</f>
        <v>0</v>
      </c>
      <c r="F95" s="3">
        <f>'Master data'!K$125</f>
        <v>0</v>
      </c>
      <c r="G95" s="3">
        <f>'Master data'!L$125</f>
        <v>0</v>
      </c>
    </row>
    <row r="97" spans="1:8" ht="22" x14ac:dyDescent="0.3">
      <c r="A97" s="66" t="s">
        <v>85</v>
      </c>
      <c r="B97" s="66"/>
      <c r="C97" s="66"/>
      <c r="D97" s="66"/>
      <c r="E97" s="66"/>
      <c r="F97" s="66"/>
      <c r="G97" s="66"/>
    </row>
    <row r="98" spans="1:8" x14ac:dyDescent="0.2">
      <c r="C98" s="24" t="s">
        <v>5</v>
      </c>
      <c r="D98" s="24" t="s">
        <v>6</v>
      </c>
      <c r="E98" s="24" t="s">
        <v>7</v>
      </c>
      <c r="F98" s="24" t="s">
        <v>8</v>
      </c>
      <c r="G98" s="24" t="s">
        <v>9</v>
      </c>
    </row>
    <row r="99" spans="1:8" x14ac:dyDescent="0.2">
      <c r="A99" t="s">
        <v>86</v>
      </c>
      <c r="B99" t="s">
        <v>19</v>
      </c>
      <c r="C99" s="27"/>
      <c r="D99" s="27"/>
      <c r="E99" s="27"/>
      <c r="F99" s="27"/>
      <c r="G99" s="27"/>
    </row>
    <row r="100" spans="1:8" x14ac:dyDescent="0.2">
      <c r="C100" s="37">
        <f>ROUND(C99/12,0)</f>
        <v>0</v>
      </c>
      <c r="D100" s="37">
        <f t="shared" ref="D100:G100" si="42">ROUND(D99/12,0)</f>
        <v>0</v>
      </c>
      <c r="E100" s="37">
        <f t="shared" si="42"/>
        <v>0</v>
      </c>
      <c r="F100" s="37">
        <f t="shared" si="42"/>
        <v>0</v>
      </c>
      <c r="G100" s="37">
        <f t="shared" si="42"/>
        <v>0</v>
      </c>
    </row>
    <row r="101" spans="1:8" x14ac:dyDescent="0.2">
      <c r="B101" t="s">
        <v>21</v>
      </c>
      <c r="C101" s="27"/>
      <c r="D101" s="27"/>
      <c r="E101" s="27"/>
      <c r="F101" s="27"/>
      <c r="G101" s="27"/>
    </row>
    <row r="102" spans="1:8" x14ac:dyDescent="0.2">
      <c r="C102" s="37">
        <f>ROUND(C101/12,0)</f>
        <v>0</v>
      </c>
      <c r="D102" s="37">
        <f t="shared" ref="D102:G102" si="43">ROUND(D101/12,0)</f>
        <v>0</v>
      </c>
      <c r="E102" s="37">
        <f t="shared" si="43"/>
        <v>0</v>
      </c>
      <c r="F102" s="37">
        <f t="shared" si="43"/>
        <v>0</v>
      </c>
      <c r="G102" s="37">
        <f t="shared" si="43"/>
        <v>0</v>
      </c>
    </row>
    <row r="103" spans="1:8" x14ac:dyDescent="0.2">
      <c r="A103" t="s">
        <v>23</v>
      </c>
      <c r="C103" s="3">
        <f>'Master data'!H129+'Master data'!H134</f>
        <v>0</v>
      </c>
      <c r="D103" s="3">
        <f>'Master data'!I129+'Master data'!I134</f>
        <v>0</v>
      </c>
      <c r="E103" s="3">
        <f>'Master data'!J129+'Master data'!J134</f>
        <v>0</v>
      </c>
      <c r="F103" s="3">
        <f>'Master data'!K129+'Master data'!K134</f>
        <v>0</v>
      </c>
      <c r="G103" s="3">
        <f>'Master data'!L129+'Master data'!L134</f>
        <v>0</v>
      </c>
    </row>
    <row r="105" spans="1:8" ht="22" x14ac:dyDescent="0.3">
      <c r="A105" s="23" t="s">
        <v>39</v>
      </c>
      <c r="B105" s="23"/>
      <c r="C105" s="23"/>
      <c r="D105" s="23"/>
      <c r="E105" s="23"/>
      <c r="F105" s="23"/>
      <c r="G105" s="23"/>
      <c r="H105" s="23"/>
    </row>
    <row r="106" spans="1:8" x14ac:dyDescent="0.2">
      <c r="C106" s="24" t="s">
        <v>5</v>
      </c>
      <c r="D106" s="24" t="s">
        <v>6</v>
      </c>
      <c r="E106" s="24" t="s">
        <v>7</v>
      </c>
      <c r="F106" s="24" t="s">
        <v>8</v>
      </c>
      <c r="G106" s="24" t="s">
        <v>9</v>
      </c>
      <c r="H106" s="24" t="s">
        <v>40</v>
      </c>
    </row>
    <row r="107" spans="1:8" ht="20" thickBot="1" x14ac:dyDescent="0.3">
      <c r="A107" s="1"/>
      <c r="B107" t="s">
        <v>23</v>
      </c>
      <c r="C107" s="41">
        <f>C17+C30+C47+C60+C73++C86+C91+C95+C103</f>
        <v>0</v>
      </c>
      <c r="D107" s="41">
        <f t="shared" ref="D107:G107" si="44">D17+D30+D47+D60+D73++D86+D91+D95+D103</f>
        <v>0</v>
      </c>
      <c r="E107" s="41">
        <f t="shared" si="44"/>
        <v>0</v>
      </c>
      <c r="F107" s="41">
        <f t="shared" si="44"/>
        <v>0</v>
      </c>
      <c r="G107" s="41">
        <f t="shared" si="44"/>
        <v>0</v>
      </c>
      <c r="H107" s="30">
        <f>SUM(C107:G107)</f>
        <v>0</v>
      </c>
    </row>
    <row r="108" spans="1:8" ht="41" customHeight="1" thickBot="1" x14ac:dyDescent="0.3">
      <c r="A108" s="1"/>
      <c r="B108" s="42" t="s">
        <v>41</v>
      </c>
      <c r="C108" s="43">
        <f>C107</f>
        <v>0</v>
      </c>
      <c r="D108" s="43">
        <f t="shared" ref="D108:G108" si="45">D107</f>
        <v>0</v>
      </c>
      <c r="E108" s="43">
        <f t="shared" si="45"/>
        <v>0</v>
      </c>
      <c r="F108" s="43">
        <f t="shared" si="45"/>
        <v>0</v>
      </c>
      <c r="G108" s="44">
        <f t="shared" si="45"/>
        <v>0</v>
      </c>
      <c r="H108" s="30"/>
    </row>
    <row r="109" spans="1:8" x14ac:dyDescent="0.2">
      <c r="A109" t="s">
        <v>42</v>
      </c>
      <c r="B109" t="s">
        <v>43</v>
      </c>
      <c r="C109" s="4">
        <f>C107*'Master data'!$B$2</f>
        <v>0</v>
      </c>
      <c r="D109" s="4">
        <f>D107*'Master data'!$B$2</f>
        <v>0</v>
      </c>
      <c r="E109" s="4">
        <f>E107*'Master data'!$B$2</f>
        <v>0</v>
      </c>
      <c r="F109" s="4">
        <f>F107*'Master data'!$B$2</f>
        <v>0</v>
      </c>
      <c r="G109" s="4">
        <f>G107*'Master data'!$B$2</f>
        <v>0</v>
      </c>
      <c r="H109" s="31">
        <f t="shared" ref="H109:H110" si="46">SUM(C109:G109)</f>
        <v>0</v>
      </c>
    </row>
    <row r="110" spans="1:8" x14ac:dyDescent="0.2">
      <c r="A110" s="28">
        <v>0</v>
      </c>
      <c r="B110" t="s">
        <v>44</v>
      </c>
      <c r="C110" s="26">
        <f>C109*(1-$A110)</f>
        <v>0</v>
      </c>
      <c r="D110" s="26">
        <f>D109*(1-$A110)</f>
        <v>0</v>
      </c>
      <c r="E110" s="26">
        <f>E109*(1-$A110)</f>
        <v>0</v>
      </c>
      <c r="F110" s="26">
        <f>F109*(1-$A110)</f>
        <v>0</v>
      </c>
      <c r="G110" s="26">
        <f>G109*(1-$A110)</f>
        <v>0</v>
      </c>
      <c r="H110" s="31">
        <f t="shared" si="46"/>
        <v>0</v>
      </c>
    </row>
    <row r="111" spans="1:8" x14ac:dyDescent="0.2">
      <c r="A111" s="58" t="s">
        <v>45</v>
      </c>
      <c r="C111" s="59"/>
      <c r="D111" s="59"/>
      <c r="E111" s="59"/>
      <c r="F111" s="59"/>
      <c r="G111" s="59"/>
      <c r="H111" s="59"/>
    </row>
    <row r="112" spans="1:8" ht="33" customHeight="1" x14ac:dyDescent="0.2">
      <c r="A112" s="61" t="s">
        <v>75</v>
      </c>
      <c r="B112" s="65" t="s">
        <v>46</v>
      </c>
      <c r="C112" s="62">
        <f>IF($A$112="Yes", IF(C110*15%&lt;50000,(50000),C110*15%),0)</f>
        <v>0</v>
      </c>
      <c r="D112" s="62">
        <f t="shared" ref="D112:G112" si="47">IF($A$112="Yes", IF(D110*15%&lt;50000,(50000),D110*15%),0)</f>
        <v>0</v>
      </c>
      <c r="E112" s="62">
        <f t="shared" si="47"/>
        <v>0</v>
      </c>
      <c r="F112" s="62">
        <f t="shared" si="47"/>
        <v>0</v>
      </c>
      <c r="G112" s="62">
        <f t="shared" si="47"/>
        <v>0</v>
      </c>
      <c r="H112" s="63">
        <f>SUM(C112:G112)</f>
        <v>0</v>
      </c>
    </row>
    <row r="113" spans="1:8" ht="17" x14ac:dyDescent="0.2">
      <c r="A113" s="60" t="s">
        <v>47</v>
      </c>
      <c r="B113" s="65"/>
      <c r="C113" s="62"/>
      <c r="D113" s="62"/>
      <c r="E113" s="62"/>
      <c r="F113" s="62"/>
      <c r="G113" s="62"/>
      <c r="H113" s="63"/>
    </row>
    <row r="114" spans="1:8" ht="17" x14ac:dyDescent="0.2">
      <c r="A114" s="28">
        <v>0</v>
      </c>
      <c r="B114" s="65" t="s">
        <v>48</v>
      </c>
      <c r="C114" s="62">
        <f>IF(C112=0,0,(IF(C112*(1-$A114)&lt;50000, 50000,C112*(1-$A114))))</f>
        <v>0</v>
      </c>
      <c r="D114" s="62">
        <f t="shared" ref="D114:G114" si="48">IF(D112=0,0,(IF(D112*(1-$A114)&lt;50000, 50000,D112*(1-$A114))))</f>
        <v>0</v>
      </c>
      <c r="E114" s="62">
        <f t="shared" si="48"/>
        <v>0</v>
      </c>
      <c r="F114" s="62">
        <f t="shared" si="48"/>
        <v>0</v>
      </c>
      <c r="G114" s="62">
        <f t="shared" si="48"/>
        <v>0</v>
      </c>
      <c r="H114" s="63">
        <f>SUM(C114:G114)</f>
        <v>0</v>
      </c>
    </row>
    <row r="115" spans="1:8" ht="17" x14ac:dyDescent="0.2">
      <c r="A115" s="58"/>
      <c r="B115" s="65" t="s">
        <v>49</v>
      </c>
      <c r="C115" s="64">
        <f>SUM(C114,C110)</f>
        <v>0</v>
      </c>
      <c r="D115" s="64">
        <f t="shared" ref="D115:G115" si="49">SUM(D114,D110)</f>
        <v>0</v>
      </c>
      <c r="E115" s="64">
        <f t="shared" si="49"/>
        <v>0</v>
      </c>
      <c r="F115" s="64">
        <f t="shared" si="49"/>
        <v>0</v>
      </c>
      <c r="G115" s="64">
        <f t="shared" si="49"/>
        <v>0</v>
      </c>
      <c r="H115" s="63">
        <f t="shared" ref="H115" si="50">SUM(C115:G115)</f>
        <v>0</v>
      </c>
    </row>
    <row r="116" spans="1:8" ht="17" thickBot="1" x14ac:dyDescent="0.25"/>
    <row r="117" spans="1:8" ht="16" customHeight="1" x14ac:dyDescent="0.2">
      <c r="A117" s="29" t="s">
        <v>89</v>
      </c>
      <c r="B117" s="80" t="s">
        <v>50</v>
      </c>
      <c r="C117" s="81"/>
      <c r="D117" s="82"/>
      <c r="F117" s="89" t="str">
        <f>IF(C107&lt;400, "Below minimum 400 RUs", "")</f>
        <v>Below minimum 400 RUs</v>
      </c>
      <c r="G117" s="90"/>
    </row>
    <row r="118" spans="1:8" ht="17" thickBot="1" x14ac:dyDescent="0.25">
      <c r="B118" s="83"/>
      <c r="C118" s="84"/>
      <c r="D118" s="85"/>
      <c r="F118" s="91"/>
      <c r="G118" s="92"/>
    </row>
    <row r="119" spans="1:8" ht="17" thickBot="1" x14ac:dyDescent="0.25">
      <c r="B119" s="86"/>
      <c r="C119" s="87"/>
      <c r="D119" s="88"/>
    </row>
  </sheetData>
  <sheetProtection algorithmName="SHA-512" hashValue="v23Wyg5QJ/VdMsOeaBzsMndXCdp9fwGT9ftUi8XhI8WnLEDGTZkxauTTO9bvNlTKX3j+M07tPPIrKXSir1dkBQ==" saltValue="i3H1uqCXxdFUa27O98m6mQ==" spinCount="100000" sheet="1" objects="1" scenarios="1"/>
  <protectedRanges>
    <protectedRange sqref="C14:G14 D7:H10 C16:G16 D15:G15 D12:G13 D24:G24 D37:G37 D54:G54 D67:G67 D80:G80" name="Range1"/>
    <protectedRange sqref="C27:G27 H21:H24 D21:G23 C29:G29 D28:G28 D26:G26" name="Range2"/>
    <protectedRange sqref="C34:G36 C28 C15 C39:G46" name="Range3"/>
    <protectedRange sqref="C57:G57 D51:G53 C59:G59 D58:G58 D56:G56" name="Range4"/>
    <protectedRange sqref="C70:G72 D64:G66 C58 D69:G69" name="Range5"/>
    <protectedRange sqref="C77:G79 C82:G85 C100:G100 C102:G102" name="Range6"/>
    <protectedRange sqref="C90:G90 C99:G99 C101:G101" name="Range7"/>
    <protectedRange sqref="A110 A112 A114" name="Range8"/>
    <protectedRange sqref="C7:C13 D11:G11 C24:C25 D25:G25 C37:C38 D38:G38 C54:C55 D55:G55 C67:C68 D68:G68 C80:C81 D81:G81" name="Range1_1"/>
    <protectedRange sqref="C21:C23 C26" name="Range2_1"/>
    <protectedRange sqref="C51:C53 C56" name="Range4_1"/>
    <protectedRange sqref="C64:C66 C69" name="Range5_1"/>
  </protectedRanges>
  <mergeCells count="3">
    <mergeCell ref="E1:I3"/>
    <mergeCell ref="B117:D119"/>
    <mergeCell ref="F117:G118"/>
  </mergeCells>
  <conditionalFormatting sqref="C10:G11">
    <cfRule type="expression" dxfId="8" priority="8">
      <formula>COUNTA(C$10,C$11)=1</formula>
    </cfRule>
  </conditionalFormatting>
  <conditionalFormatting sqref="C24:G25">
    <cfRule type="expression" dxfId="7" priority="7">
      <formula>COUNTA(C$24,C$25)=1</formula>
    </cfRule>
  </conditionalFormatting>
  <conditionalFormatting sqref="C37:G38">
    <cfRule type="expression" dxfId="6" priority="6">
      <formula>COUNTA(C$37,C$38)=1</formula>
    </cfRule>
  </conditionalFormatting>
  <conditionalFormatting sqref="C39:G39 C43:G43">
    <cfRule type="expression" dxfId="5" priority="2">
      <formula>AND(C$39="",C$43&lt;&gt;"")</formula>
    </cfRule>
  </conditionalFormatting>
  <conditionalFormatting sqref="C41:G41 C45:G45">
    <cfRule type="expression" dxfId="4" priority="1">
      <formula>AND(C$41="",C$45&lt;&gt;"")</formula>
    </cfRule>
  </conditionalFormatting>
  <conditionalFormatting sqref="C54:G55">
    <cfRule type="expression" dxfId="3" priority="5">
      <formula>COUNTA(C$54,C$55)=1</formula>
    </cfRule>
  </conditionalFormatting>
  <conditionalFormatting sqref="C67:G68">
    <cfRule type="expression" dxfId="2" priority="4">
      <formula>COUNTA(C$67,C$68)=1</formula>
    </cfRule>
  </conditionalFormatting>
  <conditionalFormatting sqref="C80:G81">
    <cfRule type="expression" dxfId="1" priority="3">
      <formula>COUNTA(C$80,C$81)=1</formula>
    </cfRule>
  </conditionalFormatting>
  <conditionalFormatting sqref="C107:G107">
    <cfRule type="cellIs" dxfId="0" priority="10" operator="lessThan">
      <formula>400</formula>
    </cfRule>
  </conditionalFormatting>
  <dataValidations count="1">
    <dataValidation type="list" allowBlank="1" showInputMessage="1" showErrorMessage="1" sqref="A112" xr:uid="{3DE4779F-0E77-4C1E-8BFD-04CBC5D2F967}">
      <formula1>"No, Yes"</formula1>
    </dataValidation>
  </dataValidations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52FC0-9195-CE43-9D42-6BE87736D24C}">
  <sheetPr codeName="Sheet3"/>
  <dimension ref="A1:L137"/>
  <sheetViews>
    <sheetView topLeftCell="A52" workbookViewId="0">
      <selection activeCell="H130" sqref="H130"/>
    </sheetView>
  </sheetViews>
  <sheetFormatPr baseColWidth="10" defaultColWidth="11" defaultRowHeight="16" x14ac:dyDescent="0.2"/>
  <cols>
    <col min="1" max="1" width="23.6640625" customWidth="1"/>
    <col min="2" max="2" width="14.33203125" bestFit="1" customWidth="1"/>
    <col min="3" max="3" width="18" bestFit="1" customWidth="1"/>
    <col min="8" max="8" width="13.33203125" bestFit="1" customWidth="1"/>
    <col min="9" max="9" width="11.83203125" bestFit="1" customWidth="1"/>
    <col min="10" max="10" width="13.83203125" bestFit="1" customWidth="1"/>
    <col min="11" max="12" width="11.83203125" bestFit="1" customWidth="1"/>
  </cols>
  <sheetData>
    <row r="1" spans="1:12" x14ac:dyDescent="0.2">
      <c r="A1" s="25" t="s">
        <v>51</v>
      </c>
      <c r="B1" s="25"/>
      <c r="C1" s="25"/>
      <c r="D1" s="25"/>
      <c r="E1" s="25"/>
      <c r="G1" s="25" t="s">
        <v>52</v>
      </c>
      <c r="H1" s="25"/>
      <c r="I1" s="25"/>
      <c r="J1" s="25"/>
      <c r="K1" s="25"/>
      <c r="L1" s="25"/>
    </row>
    <row r="2" spans="1:12" x14ac:dyDescent="0.2">
      <c r="A2" t="s">
        <v>53</v>
      </c>
      <c r="B2" s="17">
        <v>40.08</v>
      </c>
    </row>
    <row r="3" spans="1:12" x14ac:dyDescent="0.2">
      <c r="H3" t="s">
        <v>5</v>
      </c>
      <c r="I3" t="s">
        <v>6</v>
      </c>
      <c r="J3" t="s">
        <v>7</v>
      </c>
      <c r="K3" t="s">
        <v>8</v>
      </c>
      <c r="L3" t="s">
        <v>9</v>
      </c>
    </row>
    <row r="4" spans="1:12" x14ac:dyDescent="0.2">
      <c r="A4" s="6" t="s">
        <v>4</v>
      </c>
      <c r="B4" s="7" t="s">
        <v>54</v>
      </c>
      <c r="C4" s="7"/>
      <c r="D4" s="7"/>
      <c r="E4" s="7"/>
      <c r="G4" t="s">
        <v>55</v>
      </c>
      <c r="H4" s="5">
        <f>'What to buy '!C13</f>
        <v>0</v>
      </c>
      <c r="I4" s="5">
        <f>'What to buy '!D13</f>
        <v>0</v>
      </c>
      <c r="J4" s="5">
        <f>'What to buy '!E13</f>
        <v>0</v>
      </c>
      <c r="K4" s="5">
        <f>'What to buy '!F13</f>
        <v>0</v>
      </c>
      <c r="L4" s="5">
        <f>'What to buy '!G13</f>
        <v>0</v>
      </c>
    </row>
    <row r="5" spans="1:12" x14ac:dyDescent="0.2">
      <c r="A5" s="7" t="s">
        <v>56</v>
      </c>
      <c r="B5" s="7">
        <v>60</v>
      </c>
      <c r="C5" s="7"/>
      <c r="D5" s="7"/>
      <c r="E5" s="7"/>
      <c r="G5" t="s">
        <v>23</v>
      </c>
      <c r="H5" s="5">
        <f>ROUNDUP(IF(H4&gt;$C8,$C8,H4)/$E8,0)*$D8+ROUNDUP(IF(H4&gt;$C8,H4-$C8,0)/$E9,0)*$D9</f>
        <v>0</v>
      </c>
      <c r="I5" s="5">
        <f t="shared" ref="I5:L5" si="0">ROUNDUP(IF(I4&gt;$C8,$C8,I4)/$E8,0)*$D8+ROUNDUP(IF(I4&gt;$C8,I4-$C8,0)/$E9,0)*$D9</f>
        <v>0</v>
      </c>
      <c r="J5" s="5">
        <f t="shared" si="0"/>
        <v>0</v>
      </c>
      <c r="K5" s="5">
        <f t="shared" si="0"/>
        <v>0</v>
      </c>
      <c r="L5" s="5">
        <f t="shared" si="0"/>
        <v>0</v>
      </c>
    </row>
    <row r="6" spans="1:12" x14ac:dyDescent="0.2">
      <c r="A6" s="7" t="s">
        <v>57</v>
      </c>
      <c r="B6" s="7">
        <v>5</v>
      </c>
      <c r="C6" s="7"/>
      <c r="D6" s="7"/>
      <c r="E6" s="7"/>
      <c r="H6" s="5"/>
      <c r="I6" s="5"/>
      <c r="J6" s="5"/>
      <c r="K6" s="5"/>
      <c r="L6" s="5"/>
    </row>
    <row r="7" spans="1:12" x14ac:dyDescent="0.2">
      <c r="A7" s="7"/>
      <c r="B7" s="7" t="s">
        <v>58</v>
      </c>
      <c r="C7" s="7" t="s">
        <v>59</v>
      </c>
      <c r="D7" s="7" t="s">
        <v>23</v>
      </c>
      <c r="E7" s="7" t="s">
        <v>60</v>
      </c>
      <c r="I7" s="18"/>
    </row>
    <row r="8" spans="1:12" x14ac:dyDescent="0.2">
      <c r="A8" s="7" t="s">
        <v>61</v>
      </c>
      <c r="B8" s="8">
        <v>0</v>
      </c>
      <c r="C8" s="8">
        <v>100000000</v>
      </c>
      <c r="D8" s="7">
        <v>4</v>
      </c>
      <c r="E8" s="8">
        <v>100000</v>
      </c>
      <c r="H8" s="18"/>
    </row>
    <row r="9" spans="1:12" x14ac:dyDescent="0.2">
      <c r="A9" s="7"/>
      <c r="B9" s="8">
        <f>C8+1</f>
        <v>100000001</v>
      </c>
      <c r="C9" s="8">
        <v>999999999999</v>
      </c>
      <c r="D9" s="7">
        <v>1</v>
      </c>
      <c r="E9" s="8">
        <f>E8</f>
        <v>100000</v>
      </c>
    </row>
    <row r="10" spans="1:12" x14ac:dyDescent="0.2">
      <c r="A10" s="6" t="s">
        <v>76</v>
      </c>
      <c r="B10" s="7" t="s">
        <v>54</v>
      </c>
      <c r="C10" s="7"/>
      <c r="D10" s="7"/>
      <c r="E10" s="7"/>
      <c r="G10" t="s">
        <v>55</v>
      </c>
      <c r="H10" s="5">
        <f>'What to buy '!C15</f>
        <v>0</v>
      </c>
      <c r="I10" s="5">
        <f>'What to buy '!D15</f>
        <v>0</v>
      </c>
      <c r="J10" s="5">
        <f>'What to buy '!E15</f>
        <v>0</v>
      </c>
      <c r="K10" s="5">
        <f>'What to buy '!F15</f>
        <v>0</v>
      </c>
      <c r="L10" s="5">
        <f>'What to buy '!G15</f>
        <v>0</v>
      </c>
    </row>
    <row r="11" spans="1:12" x14ac:dyDescent="0.2">
      <c r="A11" s="7"/>
      <c r="B11" s="7"/>
      <c r="C11" s="7"/>
      <c r="D11" s="7"/>
      <c r="E11" s="7"/>
      <c r="G11" t="s">
        <v>23</v>
      </c>
      <c r="H11" s="5">
        <f>ROUNDUP(IF(H10&gt;$C14,$C14,H10)/$E14,0)*$D14+ROUNDUP(IF(H10&gt;$C14,H10-$C14,0)/$E15,0)*$D15</f>
        <v>0</v>
      </c>
      <c r="I11" s="5">
        <f t="shared" ref="I11:L11" si="1">ROUNDUP(IF(I10&gt;$C14,$C14,I10)/$E14,0)*$D14+ROUNDUP(IF(I10&gt;$C14,I10-$C14,0)/$E15,0)*$D15</f>
        <v>0</v>
      </c>
      <c r="J11" s="5">
        <f t="shared" si="1"/>
        <v>0</v>
      </c>
      <c r="K11" s="5">
        <f t="shared" si="1"/>
        <v>0</v>
      </c>
      <c r="L11" s="5">
        <f t="shared" si="1"/>
        <v>0</v>
      </c>
    </row>
    <row r="12" spans="1:12" x14ac:dyDescent="0.2">
      <c r="A12" s="7"/>
      <c r="B12" s="7"/>
      <c r="C12" s="7"/>
      <c r="D12" s="7"/>
      <c r="E12" s="7"/>
      <c r="H12" s="5"/>
      <c r="I12" s="5"/>
      <c r="J12" s="5"/>
      <c r="K12" s="5"/>
      <c r="L12" s="5"/>
    </row>
    <row r="13" spans="1:12" x14ac:dyDescent="0.2">
      <c r="A13" s="7"/>
      <c r="B13" s="7" t="s">
        <v>58</v>
      </c>
      <c r="C13" s="7" t="s">
        <v>59</v>
      </c>
      <c r="D13" s="7" t="s">
        <v>23</v>
      </c>
      <c r="E13" s="7" t="s">
        <v>60</v>
      </c>
      <c r="I13" s="18"/>
    </row>
    <row r="14" spans="1:12" x14ac:dyDescent="0.2">
      <c r="A14" s="7" t="s">
        <v>61</v>
      </c>
      <c r="B14" s="8">
        <v>0</v>
      </c>
      <c r="C14" s="8">
        <v>100000000</v>
      </c>
      <c r="D14" s="7">
        <v>4</v>
      </c>
      <c r="E14" s="8">
        <v>200000</v>
      </c>
      <c r="H14" s="18"/>
    </row>
    <row r="15" spans="1:12" x14ac:dyDescent="0.2">
      <c r="A15" s="7"/>
      <c r="B15" s="8">
        <f>C14+1</f>
        <v>100000001</v>
      </c>
      <c r="C15" s="8">
        <v>999999999999</v>
      </c>
      <c r="D15" s="7">
        <v>1</v>
      </c>
      <c r="E15" s="8">
        <f>E14</f>
        <v>200000</v>
      </c>
    </row>
    <row r="21" spans="1:12" x14ac:dyDescent="0.2">
      <c r="A21" s="10" t="s">
        <v>24</v>
      </c>
      <c r="B21" s="3" t="s">
        <v>54</v>
      </c>
      <c r="C21" s="3"/>
      <c r="D21" s="3"/>
      <c r="E21" s="3"/>
      <c r="G21" t="s">
        <v>55</v>
      </c>
      <c r="H21" s="5">
        <f>'What to buy '!C26</f>
        <v>0</v>
      </c>
      <c r="I21" s="5">
        <f>'What to buy '!D26</f>
        <v>0</v>
      </c>
      <c r="J21" s="5">
        <f>'What to buy '!E26</f>
        <v>0</v>
      </c>
      <c r="K21" s="5">
        <f>'What to buy '!F26</f>
        <v>0</v>
      </c>
      <c r="L21" s="5">
        <f>'What to buy '!G26</f>
        <v>0</v>
      </c>
    </row>
    <row r="22" spans="1:12" x14ac:dyDescent="0.2">
      <c r="A22" s="3" t="s">
        <v>56</v>
      </c>
      <c r="B22" s="3">
        <v>50</v>
      </c>
      <c r="C22" s="3"/>
      <c r="D22" s="3"/>
      <c r="E22" s="3"/>
      <c r="G22" t="s">
        <v>23</v>
      </c>
      <c r="H22" s="5">
        <f>ROUNDUP(IF(H21&gt;$C24,$C24,H21)/$E24,0)*$D24+ROUNDUP(IF(H21&gt;$C24,H21-$C24,0)/$E25,0)*$D25</f>
        <v>0</v>
      </c>
      <c r="I22" s="5">
        <f t="shared" ref="I22:L22" si="2">ROUNDUP(IF(I21&gt;$C24,$C24,I21)/$E24,0)*$D24+ROUNDUP(IF(I21&gt;$C24,I21-$C24,0)/$E25,0)*$D25</f>
        <v>0</v>
      </c>
      <c r="J22" s="5">
        <f t="shared" si="2"/>
        <v>0</v>
      </c>
      <c r="K22" s="5">
        <f t="shared" si="2"/>
        <v>0</v>
      </c>
      <c r="L22" s="5">
        <f t="shared" si="2"/>
        <v>0</v>
      </c>
    </row>
    <row r="23" spans="1:12" x14ac:dyDescent="0.2">
      <c r="A23" s="3"/>
      <c r="B23" s="3" t="s">
        <v>58</v>
      </c>
      <c r="C23" s="3" t="s">
        <v>59</v>
      </c>
      <c r="D23" s="3" t="s">
        <v>23</v>
      </c>
      <c r="E23" s="3" t="s">
        <v>60</v>
      </c>
    </row>
    <row r="24" spans="1:12" x14ac:dyDescent="0.2">
      <c r="A24" s="3" t="s">
        <v>61</v>
      </c>
      <c r="B24" s="9">
        <v>0</v>
      </c>
      <c r="C24" s="9">
        <v>1000000000</v>
      </c>
      <c r="D24" s="3">
        <v>3</v>
      </c>
      <c r="E24" s="9">
        <v>1000000</v>
      </c>
    </row>
    <row r="25" spans="1:12" x14ac:dyDescent="0.2">
      <c r="A25" s="3"/>
      <c r="B25" s="9">
        <f>C24+1</f>
        <v>1000000001</v>
      </c>
      <c r="C25" s="9">
        <v>999999999999</v>
      </c>
      <c r="D25" s="3">
        <v>2</v>
      </c>
      <c r="E25" s="9">
        <f>E24</f>
        <v>1000000</v>
      </c>
    </row>
    <row r="26" spans="1:12" x14ac:dyDescent="0.2">
      <c r="A26" s="10" t="s">
        <v>77</v>
      </c>
      <c r="B26" s="3" t="s">
        <v>54</v>
      </c>
      <c r="C26" s="3"/>
      <c r="D26" s="3"/>
      <c r="E26" s="3"/>
      <c r="G26" t="s">
        <v>55</v>
      </c>
      <c r="H26" s="5">
        <f>'What to buy '!C28</f>
        <v>0</v>
      </c>
      <c r="I26" s="5">
        <f>'What to buy '!D28</f>
        <v>0</v>
      </c>
      <c r="J26" s="5">
        <f>'What to buy '!E28</f>
        <v>0</v>
      </c>
      <c r="K26" s="5">
        <f>'What to buy '!F28</f>
        <v>0</v>
      </c>
      <c r="L26" s="5">
        <f>'What to buy '!G28</f>
        <v>0</v>
      </c>
    </row>
    <row r="27" spans="1:12" x14ac:dyDescent="0.2">
      <c r="A27" s="3"/>
      <c r="B27" s="3"/>
      <c r="C27" s="3"/>
      <c r="D27" s="3"/>
      <c r="E27" s="3"/>
      <c r="G27" t="s">
        <v>23</v>
      </c>
      <c r="H27" s="5">
        <f>ROUNDUP(IF(H26&gt;$C29,$C29,H26)/$E29,0)*$D29+ROUNDUP(IF(H26&gt;$C29,H26-$C29,0)/$E30,0)*$D30</f>
        <v>0</v>
      </c>
      <c r="I27" s="5">
        <f t="shared" ref="I27:L27" si="3">ROUNDUP(IF(I26&gt;$C29,$C29,I26)/$E29,0)*$D29+ROUNDUP(IF(I26&gt;$C29,I26-$C29,0)/$E30,0)*$D30</f>
        <v>0</v>
      </c>
      <c r="J27" s="5">
        <f t="shared" si="3"/>
        <v>0</v>
      </c>
      <c r="K27" s="5">
        <f t="shared" si="3"/>
        <v>0</v>
      </c>
      <c r="L27" s="5">
        <f t="shared" si="3"/>
        <v>0</v>
      </c>
    </row>
    <row r="28" spans="1:12" x14ac:dyDescent="0.2">
      <c r="A28" s="3"/>
      <c r="B28" s="3" t="s">
        <v>58</v>
      </c>
      <c r="C28" s="3" t="s">
        <v>59</v>
      </c>
      <c r="D28" s="3" t="s">
        <v>23</v>
      </c>
      <c r="E28" s="3" t="s">
        <v>60</v>
      </c>
    </row>
    <row r="29" spans="1:12" x14ac:dyDescent="0.2">
      <c r="A29" s="3" t="s">
        <v>61</v>
      </c>
      <c r="B29" s="9">
        <v>0</v>
      </c>
      <c r="C29" s="9">
        <v>1000000000</v>
      </c>
      <c r="D29" s="3">
        <v>3</v>
      </c>
      <c r="E29" s="9">
        <v>2000000</v>
      </c>
    </row>
    <row r="30" spans="1:12" x14ac:dyDescent="0.2">
      <c r="A30" s="3"/>
      <c r="B30" s="9">
        <f>C29+1</f>
        <v>1000000001</v>
      </c>
      <c r="C30" s="9">
        <v>999999999999</v>
      </c>
      <c r="D30" s="3">
        <v>2</v>
      </c>
      <c r="E30" s="9">
        <f>E29</f>
        <v>2000000</v>
      </c>
    </row>
    <row r="36" spans="1:12" x14ac:dyDescent="0.2">
      <c r="A36" s="13" t="s">
        <v>26</v>
      </c>
      <c r="B36" s="11" t="s">
        <v>54</v>
      </c>
      <c r="C36" s="11"/>
      <c r="D36" s="11"/>
      <c r="E36" s="11"/>
      <c r="G36" t="s">
        <v>55</v>
      </c>
      <c r="H36" s="5">
        <f>'What to buy '!C39</f>
        <v>0</v>
      </c>
      <c r="I36" s="5">
        <f>'What to buy '!D39</f>
        <v>0</v>
      </c>
      <c r="J36" s="5">
        <f>'What to buy '!E39</f>
        <v>0</v>
      </c>
      <c r="K36" s="5">
        <f>'What to buy '!F39</f>
        <v>0</v>
      </c>
      <c r="L36" s="5">
        <f>'What to buy '!G39</f>
        <v>0</v>
      </c>
    </row>
    <row r="37" spans="1:12" x14ac:dyDescent="0.2">
      <c r="A37" s="11" t="s">
        <v>56</v>
      </c>
      <c r="B37" s="11">
        <v>60</v>
      </c>
      <c r="C37" s="11"/>
      <c r="D37" s="11"/>
      <c r="E37" s="11"/>
      <c r="G37" t="s">
        <v>23</v>
      </c>
      <c r="H37" s="5">
        <f>ROUNDUP(IF(H36&gt;$C39,$C39,H36)/$E39,0)*$D39+ROUNDUP(IF(H36&gt;$C39,H36-$C39,0)/$E40,0)*$D40</f>
        <v>0</v>
      </c>
      <c r="I37" s="5">
        <f t="shared" ref="I37:L37" si="4">ROUNDUP(IF(I36&gt;$C39,$C39,I36)/$E39,0)*$D39+ROUNDUP(IF(I36&gt;$C39,I36-$C39,0)/$E40,0)*$D40</f>
        <v>0</v>
      </c>
      <c r="J37" s="5">
        <f t="shared" si="4"/>
        <v>0</v>
      </c>
      <c r="K37" s="5">
        <f t="shared" si="4"/>
        <v>0</v>
      </c>
      <c r="L37" s="5">
        <f t="shared" si="4"/>
        <v>0</v>
      </c>
    </row>
    <row r="38" spans="1:12" x14ac:dyDescent="0.2">
      <c r="A38" s="11"/>
      <c r="B38" s="11" t="s">
        <v>58</v>
      </c>
      <c r="C38" s="11" t="s">
        <v>59</v>
      </c>
      <c r="D38" s="11" t="s">
        <v>23</v>
      </c>
      <c r="E38" s="11" t="s">
        <v>60</v>
      </c>
    </row>
    <row r="39" spans="1:12" x14ac:dyDescent="0.2">
      <c r="A39" s="11" t="s">
        <v>61</v>
      </c>
      <c r="B39" s="12">
        <v>0</v>
      </c>
      <c r="C39" s="12">
        <v>100000000</v>
      </c>
      <c r="D39" s="11">
        <v>4</v>
      </c>
      <c r="E39" s="12">
        <v>100000</v>
      </c>
    </row>
    <row r="40" spans="1:12" x14ac:dyDescent="0.2">
      <c r="A40" s="11"/>
      <c r="B40" s="12">
        <f>C39+1</f>
        <v>100000001</v>
      </c>
      <c r="C40" s="12">
        <v>999999999999</v>
      </c>
      <c r="D40" s="11">
        <v>1</v>
      </c>
      <c r="E40" s="12">
        <f>E39</f>
        <v>100000</v>
      </c>
    </row>
    <row r="41" spans="1:12" x14ac:dyDescent="0.2">
      <c r="A41" s="13" t="s">
        <v>78</v>
      </c>
      <c r="B41" s="11" t="s">
        <v>54</v>
      </c>
      <c r="C41" s="11"/>
      <c r="D41" s="11"/>
      <c r="E41" s="11"/>
      <c r="G41" t="s">
        <v>55</v>
      </c>
      <c r="H41" s="5">
        <f>'What to buy '!C41</f>
        <v>0</v>
      </c>
      <c r="I41" s="5">
        <f>'What to buy '!D41</f>
        <v>0</v>
      </c>
      <c r="J41" s="5">
        <f>'What to buy '!E41</f>
        <v>0</v>
      </c>
      <c r="K41" s="5">
        <f>'What to buy '!F41</f>
        <v>0</v>
      </c>
      <c r="L41" s="5">
        <f>'What to buy '!G41</f>
        <v>0</v>
      </c>
    </row>
    <row r="42" spans="1:12" x14ac:dyDescent="0.2">
      <c r="A42" s="11"/>
      <c r="B42" s="11"/>
      <c r="C42" s="11"/>
      <c r="D42" s="11"/>
      <c r="E42" s="11"/>
      <c r="G42" t="s">
        <v>23</v>
      </c>
      <c r="H42" s="5">
        <f>ROUNDUP(IF(H41&gt;$C44,$C44,H41)/$E44,0)*$D44+ROUNDUP(IF(H41&gt;$C44,H41-$C44,0)/$E45,0)*$D45</f>
        <v>0</v>
      </c>
      <c r="I42" s="5">
        <f t="shared" ref="I42:L42" si="5">ROUNDUP(IF(I41&gt;$C44,$C44,I41)/$E44,0)*$D44+ROUNDUP(IF(I41&gt;$C44,I41-$C44,0)/$E45,0)*$D45</f>
        <v>0</v>
      </c>
      <c r="J42" s="5">
        <f t="shared" si="5"/>
        <v>0</v>
      </c>
      <c r="K42" s="5">
        <f t="shared" si="5"/>
        <v>0</v>
      </c>
      <c r="L42" s="5">
        <f t="shared" si="5"/>
        <v>0</v>
      </c>
    </row>
    <row r="43" spans="1:12" x14ac:dyDescent="0.2">
      <c r="A43" s="11"/>
      <c r="B43" s="11" t="s">
        <v>58</v>
      </c>
      <c r="C43" s="11" t="s">
        <v>59</v>
      </c>
      <c r="D43" s="11" t="s">
        <v>23</v>
      </c>
      <c r="E43" s="11" t="s">
        <v>60</v>
      </c>
    </row>
    <row r="44" spans="1:12" x14ac:dyDescent="0.2">
      <c r="A44" s="11" t="s">
        <v>61</v>
      </c>
      <c r="B44" s="12">
        <v>0</v>
      </c>
      <c r="C44" s="12">
        <v>100000000</v>
      </c>
      <c r="D44" s="11">
        <v>4</v>
      </c>
      <c r="E44" s="12">
        <v>200000</v>
      </c>
    </row>
    <row r="45" spans="1:12" x14ac:dyDescent="0.2">
      <c r="A45" s="11"/>
      <c r="B45" s="12">
        <f>C44+1</f>
        <v>100000001</v>
      </c>
      <c r="C45" s="12">
        <v>999999999999</v>
      </c>
      <c r="D45" s="11">
        <v>1</v>
      </c>
      <c r="E45" s="12">
        <f>E44</f>
        <v>200000</v>
      </c>
    </row>
    <row r="48" spans="1:12" x14ac:dyDescent="0.2">
      <c r="A48" s="13" t="s">
        <v>62</v>
      </c>
      <c r="B48" s="11" t="s">
        <v>54</v>
      </c>
      <c r="C48" s="11"/>
      <c r="D48" s="11"/>
      <c r="E48" s="11"/>
      <c r="G48" t="s">
        <v>55</v>
      </c>
      <c r="H48" s="5">
        <f>'What to buy '!C43</f>
        <v>0</v>
      </c>
      <c r="I48" s="5">
        <f>'What to buy '!D43</f>
        <v>0</v>
      </c>
      <c r="J48" s="5">
        <f>'What to buy '!E43</f>
        <v>0</v>
      </c>
      <c r="K48" s="5">
        <f>'What to buy '!F43</f>
        <v>0</v>
      </c>
      <c r="L48" s="5">
        <f>'What to buy '!G43</f>
        <v>0</v>
      </c>
    </row>
    <row r="49" spans="1:12" x14ac:dyDescent="0.2">
      <c r="A49" s="11" t="s">
        <v>56</v>
      </c>
      <c r="B49" s="11" t="s">
        <v>63</v>
      </c>
      <c r="C49" s="11"/>
      <c r="D49" s="11"/>
      <c r="E49" s="11"/>
      <c r="G49" t="s">
        <v>23</v>
      </c>
      <c r="H49" s="5">
        <f>ROUNDUP(IF(H48&gt;$C51,$C51,H48)/$E51,0)*$D51+ROUNDUP(IF(H48&gt;$C51,H48-$C51,0)/$E52,0)*$D52</f>
        <v>0</v>
      </c>
      <c r="I49" s="5">
        <f t="shared" ref="I49:L49" si="6">ROUNDUP(IF(I48&gt;$C51,$C51,I48)/$E51,0)*$D51+ROUNDUP(IF(I48&gt;$C51,I48-$C51,0)/$E52,0)*$D52</f>
        <v>0</v>
      </c>
      <c r="J49" s="5">
        <f t="shared" si="6"/>
        <v>0</v>
      </c>
      <c r="K49" s="5">
        <f t="shared" si="6"/>
        <v>0</v>
      </c>
      <c r="L49" s="5">
        <f t="shared" si="6"/>
        <v>0</v>
      </c>
    </row>
    <row r="50" spans="1:12" x14ac:dyDescent="0.2">
      <c r="A50" s="11"/>
      <c r="B50" s="11" t="s">
        <v>58</v>
      </c>
      <c r="C50" s="11" t="s">
        <v>59</v>
      </c>
      <c r="D50" s="11" t="s">
        <v>23</v>
      </c>
      <c r="E50" s="11" t="s">
        <v>60</v>
      </c>
    </row>
    <row r="51" spans="1:12" x14ac:dyDescent="0.2">
      <c r="A51" s="11" t="s">
        <v>61</v>
      </c>
      <c r="B51" s="12">
        <v>0</v>
      </c>
      <c r="C51" s="12">
        <v>1000000</v>
      </c>
      <c r="D51" s="11">
        <v>30</v>
      </c>
      <c r="E51" s="12">
        <v>10000</v>
      </c>
    </row>
    <row r="52" spans="1:12" x14ac:dyDescent="0.2">
      <c r="A52" s="11"/>
      <c r="B52" s="12">
        <f>C51+1</f>
        <v>1000001</v>
      </c>
      <c r="C52" s="12">
        <v>999999999999</v>
      </c>
      <c r="D52" s="11">
        <v>10</v>
      </c>
      <c r="E52" s="12">
        <f>E51</f>
        <v>10000</v>
      </c>
    </row>
    <row r="53" spans="1:12" x14ac:dyDescent="0.2">
      <c r="A53" s="13" t="s">
        <v>79</v>
      </c>
      <c r="B53" s="11" t="s">
        <v>54</v>
      </c>
      <c r="C53" s="11"/>
      <c r="D53" s="11"/>
      <c r="E53" s="11"/>
      <c r="G53" t="s">
        <v>55</v>
      </c>
      <c r="H53" s="5">
        <f>'What to buy '!C45</f>
        <v>0</v>
      </c>
      <c r="I53" s="5">
        <f>'What to buy '!D45</f>
        <v>0</v>
      </c>
      <c r="J53" s="5">
        <f>'What to buy '!E45</f>
        <v>0</v>
      </c>
      <c r="K53" s="5">
        <f>'What to buy '!F45</f>
        <v>0</v>
      </c>
      <c r="L53" s="5">
        <f>'What to buy '!G45</f>
        <v>0</v>
      </c>
    </row>
    <row r="54" spans="1:12" x14ac:dyDescent="0.2">
      <c r="A54" s="11"/>
      <c r="B54" s="11"/>
      <c r="C54" s="11"/>
      <c r="D54" s="11"/>
      <c r="E54" s="11"/>
      <c r="G54" t="s">
        <v>23</v>
      </c>
      <c r="H54" s="5">
        <f>ROUNDUP(IF(H53&gt;$C56,$C56,H53)/$E56,0)*$D56+ROUNDUP(IF(H53&gt;$C56,H53-$C56,0)/$E57,0)*$D57</f>
        <v>0</v>
      </c>
      <c r="I54" s="5">
        <f t="shared" ref="I54:L54" si="7">ROUNDUP(IF(I53&gt;$C56,$C56,I53)/$E56,0)*$D56+ROUNDUP(IF(I53&gt;$C56,I53-$C56,0)/$E57,0)*$D57</f>
        <v>0</v>
      </c>
      <c r="J54" s="5">
        <f t="shared" si="7"/>
        <v>0</v>
      </c>
      <c r="K54" s="5">
        <f t="shared" si="7"/>
        <v>0</v>
      </c>
      <c r="L54" s="5">
        <f t="shared" si="7"/>
        <v>0</v>
      </c>
    </row>
    <row r="55" spans="1:12" x14ac:dyDescent="0.2">
      <c r="A55" s="11"/>
      <c r="B55" s="11" t="s">
        <v>58</v>
      </c>
      <c r="C55" s="11" t="s">
        <v>59</v>
      </c>
      <c r="D55" s="11" t="s">
        <v>23</v>
      </c>
      <c r="E55" s="11" t="s">
        <v>60</v>
      </c>
    </row>
    <row r="56" spans="1:12" x14ac:dyDescent="0.2">
      <c r="A56" s="11" t="s">
        <v>61</v>
      </c>
      <c r="B56" s="12">
        <v>0</v>
      </c>
      <c r="C56" s="12">
        <v>1000000</v>
      </c>
      <c r="D56" s="11">
        <v>30</v>
      </c>
      <c r="E56" s="12">
        <v>20000</v>
      </c>
    </row>
    <row r="57" spans="1:12" x14ac:dyDescent="0.2">
      <c r="A57" s="11"/>
      <c r="B57" s="12">
        <f>C56+1</f>
        <v>1000001</v>
      </c>
      <c r="C57" s="12">
        <v>999999999999</v>
      </c>
      <c r="D57" s="11">
        <v>10</v>
      </c>
      <c r="E57" s="12">
        <f>E56</f>
        <v>20000</v>
      </c>
    </row>
    <row r="62" spans="1:12" x14ac:dyDescent="0.2">
      <c r="A62" s="16" t="s">
        <v>29</v>
      </c>
      <c r="B62" s="14" t="s">
        <v>54</v>
      </c>
      <c r="C62" s="14"/>
      <c r="D62" s="14"/>
      <c r="E62" s="14"/>
      <c r="G62" t="s">
        <v>55</v>
      </c>
      <c r="H62" s="5">
        <f>'What to buy '!C56</f>
        <v>0</v>
      </c>
      <c r="I62" s="5">
        <f>'What to buy '!D56</f>
        <v>0</v>
      </c>
      <c r="J62" s="5">
        <f>'What to buy '!E56</f>
        <v>0</v>
      </c>
      <c r="K62" s="5">
        <f>'What to buy '!F56</f>
        <v>0</v>
      </c>
      <c r="L62" s="5">
        <f>'What to buy '!G56</f>
        <v>0</v>
      </c>
    </row>
    <row r="63" spans="1:12" x14ac:dyDescent="0.2">
      <c r="A63" s="14" t="s">
        <v>56</v>
      </c>
      <c r="B63" s="14">
        <v>60</v>
      </c>
      <c r="C63" s="14"/>
      <c r="D63" s="14"/>
      <c r="E63" s="14"/>
      <c r="G63" t="s">
        <v>23</v>
      </c>
      <c r="H63" s="5">
        <f>ROUNDUP(IF(H62&gt;$C65,$C65,H62)/$E65,0)*$D65+ROUNDUP(IF(H62&gt;$C65,H62-$C65,0)/$E66,0)*$D66</f>
        <v>0</v>
      </c>
      <c r="I63" s="5">
        <f t="shared" ref="I63:L63" si="8">ROUNDUP(IF(I62&gt;$C65,$C65,I62)/$E65,0)*$D65+ROUNDUP(IF(I62&gt;$C65,I62-$C65,0)/$E66,0)*$D66</f>
        <v>0</v>
      </c>
      <c r="J63" s="5">
        <f t="shared" si="8"/>
        <v>0</v>
      </c>
      <c r="K63" s="5">
        <f t="shared" si="8"/>
        <v>0</v>
      </c>
      <c r="L63" s="5">
        <f t="shared" si="8"/>
        <v>0</v>
      </c>
    </row>
    <row r="64" spans="1:12" x14ac:dyDescent="0.2">
      <c r="A64" s="14"/>
      <c r="B64" s="14" t="s">
        <v>58</v>
      </c>
      <c r="C64" s="14" t="s">
        <v>59</v>
      </c>
      <c r="D64" s="14" t="s">
        <v>23</v>
      </c>
      <c r="E64" s="14" t="s">
        <v>60</v>
      </c>
    </row>
    <row r="65" spans="1:12" x14ac:dyDescent="0.2">
      <c r="A65" s="14" t="s">
        <v>61</v>
      </c>
      <c r="B65" s="15">
        <v>0</v>
      </c>
      <c r="C65" s="15">
        <v>100000000</v>
      </c>
      <c r="D65" s="14">
        <v>4</v>
      </c>
      <c r="E65" s="15">
        <v>100000</v>
      </c>
    </row>
    <row r="66" spans="1:12" x14ac:dyDescent="0.2">
      <c r="A66" s="14"/>
      <c r="B66" s="15">
        <f>C65+1</f>
        <v>100000001</v>
      </c>
      <c r="C66" s="15">
        <v>999999999999</v>
      </c>
      <c r="D66" s="14">
        <v>1</v>
      </c>
      <c r="E66" s="15">
        <f>E65</f>
        <v>100000</v>
      </c>
    </row>
    <row r="67" spans="1:12" x14ac:dyDescent="0.2">
      <c r="A67" s="16" t="s">
        <v>80</v>
      </c>
      <c r="B67" s="14" t="s">
        <v>54</v>
      </c>
      <c r="C67" s="14"/>
      <c r="D67" s="14"/>
      <c r="E67" s="14"/>
      <c r="G67" t="s">
        <v>55</v>
      </c>
      <c r="H67" s="5">
        <f>'What to buy '!C58</f>
        <v>0</v>
      </c>
      <c r="I67" s="5">
        <f>'What to buy '!D58</f>
        <v>0</v>
      </c>
      <c r="J67" s="5">
        <f>'What to buy '!E58</f>
        <v>0</v>
      </c>
      <c r="K67" s="5">
        <f>'What to buy '!F58</f>
        <v>0</v>
      </c>
      <c r="L67" s="5">
        <f>'What to buy '!G58</f>
        <v>0</v>
      </c>
    </row>
    <row r="68" spans="1:12" x14ac:dyDescent="0.2">
      <c r="A68" s="14"/>
      <c r="B68" s="14"/>
      <c r="C68" s="14"/>
      <c r="D68" s="14"/>
      <c r="E68" s="14"/>
      <c r="G68" t="s">
        <v>23</v>
      </c>
      <c r="H68" s="5">
        <f>ROUNDUP(IF(H67&gt;$C70,$C70,H67)/$E70,0)*$D70+ROUNDUP(IF(H67&gt;$C70,H67-$C70,0)/$E71,0)*$D71</f>
        <v>0</v>
      </c>
      <c r="I68" s="5">
        <f t="shared" ref="I68:L68" si="9">ROUNDUP(IF(I67&gt;$C70,$C70,I67)/$E70,0)*$D70+ROUNDUP(IF(I67&gt;$C70,I67-$C70,0)/$E71,0)*$D71</f>
        <v>0</v>
      </c>
      <c r="J68" s="5">
        <f t="shared" si="9"/>
        <v>0</v>
      </c>
      <c r="K68" s="5">
        <f t="shared" si="9"/>
        <v>0</v>
      </c>
      <c r="L68" s="5">
        <f t="shared" si="9"/>
        <v>0</v>
      </c>
    </row>
    <row r="69" spans="1:12" x14ac:dyDescent="0.2">
      <c r="A69" s="14"/>
      <c r="B69" s="14" t="s">
        <v>58</v>
      </c>
      <c r="C69" s="14" t="s">
        <v>59</v>
      </c>
      <c r="D69" s="14" t="s">
        <v>23</v>
      </c>
      <c r="E69" s="14" t="s">
        <v>60</v>
      </c>
    </row>
    <row r="70" spans="1:12" x14ac:dyDescent="0.2">
      <c r="A70" s="14" t="s">
        <v>61</v>
      </c>
      <c r="B70" s="15">
        <v>0</v>
      </c>
      <c r="C70" s="15">
        <v>100000000</v>
      </c>
      <c r="D70" s="14">
        <v>4</v>
      </c>
      <c r="E70" s="15">
        <v>200000</v>
      </c>
    </row>
    <row r="71" spans="1:12" x14ac:dyDescent="0.2">
      <c r="A71" s="14"/>
      <c r="B71" s="15">
        <f>C70+1</f>
        <v>100000001</v>
      </c>
      <c r="C71" s="15">
        <v>999999999999</v>
      </c>
      <c r="D71" s="14">
        <v>1</v>
      </c>
      <c r="E71" s="15">
        <f>E70</f>
        <v>200000</v>
      </c>
    </row>
    <row r="77" spans="1:12" x14ac:dyDescent="0.2">
      <c r="A77" s="32" t="s">
        <v>31</v>
      </c>
      <c r="B77" s="33" t="s">
        <v>54</v>
      </c>
      <c r="C77" s="33"/>
      <c r="D77" s="33"/>
      <c r="E77" s="33"/>
      <c r="G77" t="s">
        <v>55</v>
      </c>
      <c r="H77" s="5">
        <f>'What to buy '!C69</f>
        <v>0</v>
      </c>
      <c r="I77" s="5">
        <f>'What to buy '!D69</f>
        <v>0</v>
      </c>
      <c r="J77" s="5">
        <f>'What to buy '!E69</f>
        <v>0</v>
      </c>
      <c r="K77" s="5">
        <f>'What to buy '!F69</f>
        <v>0</v>
      </c>
      <c r="L77" s="5">
        <f>'What to buy '!G69</f>
        <v>0</v>
      </c>
    </row>
    <row r="78" spans="1:12" x14ac:dyDescent="0.2">
      <c r="A78" s="33" t="s">
        <v>56</v>
      </c>
      <c r="B78" s="33">
        <v>50</v>
      </c>
      <c r="C78" s="33"/>
      <c r="D78" s="33"/>
      <c r="E78" s="33"/>
      <c r="G78" t="s">
        <v>23</v>
      </c>
      <c r="H78" s="5">
        <f>ROUNDUP(IF(H77&gt;$C80,$C80,H77)/$E80,0)*$D80+ROUNDUP(IF(H77&gt;$C80,H77-$C80,0)/$E81,0)*$D81</f>
        <v>0</v>
      </c>
      <c r="I78" s="5">
        <f t="shared" ref="I78:L78" si="10">ROUNDUP(IF(I77&gt;$C80,$C80,I77)/$E80,0)*$D80+ROUNDUP(IF(I77&gt;$C80,I77-$C80,0)/$E81,0)*$D81</f>
        <v>0</v>
      </c>
      <c r="J78" s="5">
        <f t="shared" si="10"/>
        <v>0</v>
      </c>
      <c r="K78" s="5">
        <f t="shared" si="10"/>
        <v>0</v>
      </c>
      <c r="L78" s="5">
        <f t="shared" si="10"/>
        <v>0</v>
      </c>
    </row>
    <row r="79" spans="1:12" x14ac:dyDescent="0.2">
      <c r="A79" s="33"/>
      <c r="B79" s="33" t="s">
        <v>58</v>
      </c>
      <c r="C79" s="33" t="s">
        <v>59</v>
      </c>
      <c r="D79" s="33" t="s">
        <v>23</v>
      </c>
      <c r="E79" s="33" t="s">
        <v>60</v>
      </c>
    </row>
    <row r="80" spans="1:12" x14ac:dyDescent="0.2">
      <c r="A80" s="33" t="s">
        <v>61</v>
      </c>
      <c r="B80" s="34">
        <v>0</v>
      </c>
      <c r="C80" s="34">
        <v>1000000000</v>
      </c>
      <c r="D80" s="33">
        <v>3</v>
      </c>
      <c r="E80" s="34">
        <v>1000000</v>
      </c>
    </row>
    <row r="81" spans="1:12" x14ac:dyDescent="0.2">
      <c r="A81" s="33"/>
      <c r="B81" s="34">
        <f>C80+1</f>
        <v>1000000001</v>
      </c>
      <c r="C81" s="34">
        <v>999999999999</v>
      </c>
      <c r="D81" s="33">
        <v>2</v>
      </c>
      <c r="E81" s="34">
        <f>E80</f>
        <v>1000000</v>
      </c>
    </row>
    <row r="82" spans="1:12" x14ac:dyDescent="0.2">
      <c r="A82" s="32" t="s">
        <v>81</v>
      </c>
      <c r="B82" s="33" t="s">
        <v>54</v>
      </c>
      <c r="C82" s="33"/>
      <c r="D82" s="33"/>
      <c r="E82" s="33"/>
      <c r="G82" t="s">
        <v>55</v>
      </c>
      <c r="H82" s="5">
        <f>'What to buy '!C71</f>
        <v>0</v>
      </c>
      <c r="I82" s="5">
        <f>'What to buy '!D71</f>
        <v>0</v>
      </c>
      <c r="J82" s="5">
        <f>'What to buy '!E71</f>
        <v>0</v>
      </c>
      <c r="K82" s="5">
        <f>'What to buy '!F71</f>
        <v>0</v>
      </c>
      <c r="L82" s="5">
        <f>'What to buy '!G71</f>
        <v>0</v>
      </c>
    </row>
    <row r="83" spans="1:12" x14ac:dyDescent="0.2">
      <c r="A83" s="33"/>
      <c r="B83" s="33"/>
      <c r="C83" s="33"/>
      <c r="D83" s="33"/>
      <c r="E83" s="33"/>
      <c r="G83" t="s">
        <v>23</v>
      </c>
      <c r="H83" s="5">
        <f>ROUNDUP(IF(H82&gt;$C85,$C85,H82)/$E85,0)*$D85+ROUNDUP(IF(H82&gt;$C85,H82-$C85,0)/$E86,0)*$D86</f>
        <v>0</v>
      </c>
      <c r="I83" s="5">
        <f t="shared" ref="I83:L83" si="11">ROUNDUP(IF(I82&gt;$C85,$C85,I82)/$E85,0)*$D85+ROUNDUP(IF(I82&gt;$C85,I82-$C85,0)/$E86,0)*$D86</f>
        <v>0</v>
      </c>
      <c r="J83" s="5">
        <f t="shared" si="11"/>
        <v>0</v>
      </c>
      <c r="K83" s="5">
        <f t="shared" si="11"/>
        <v>0</v>
      </c>
      <c r="L83" s="5">
        <f t="shared" si="11"/>
        <v>0</v>
      </c>
    </row>
    <row r="84" spans="1:12" x14ac:dyDescent="0.2">
      <c r="A84" s="33"/>
      <c r="B84" s="33" t="s">
        <v>58</v>
      </c>
      <c r="C84" s="33" t="s">
        <v>59</v>
      </c>
      <c r="D84" s="33" t="s">
        <v>23</v>
      </c>
      <c r="E84" s="33" t="s">
        <v>60</v>
      </c>
    </row>
    <row r="85" spans="1:12" x14ac:dyDescent="0.2">
      <c r="A85" s="33" t="s">
        <v>61</v>
      </c>
      <c r="B85" s="34">
        <v>0</v>
      </c>
      <c r="C85" s="34">
        <v>1000000000</v>
      </c>
      <c r="D85" s="33">
        <v>3</v>
      </c>
      <c r="E85" s="34">
        <v>2000000</v>
      </c>
    </row>
    <row r="86" spans="1:12" x14ac:dyDescent="0.2">
      <c r="A86" s="33"/>
      <c r="B86" s="34">
        <f>C85+1</f>
        <v>1000000001</v>
      </c>
      <c r="C86" s="34">
        <v>999999999999</v>
      </c>
      <c r="D86" s="33">
        <v>2</v>
      </c>
      <c r="E86" s="34">
        <f>E85</f>
        <v>2000000</v>
      </c>
    </row>
    <row r="90" spans="1:12" x14ac:dyDescent="0.2">
      <c r="A90" s="38" t="s">
        <v>35</v>
      </c>
      <c r="B90" s="39" t="s">
        <v>54</v>
      </c>
      <c r="C90" s="39"/>
      <c r="D90" s="39"/>
      <c r="E90" s="39"/>
      <c r="G90" t="s">
        <v>55</v>
      </c>
      <c r="H90" s="5">
        <f>'What to buy '!C90</f>
        <v>0</v>
      </c>
      <c r="I90" s="5">
        <f>'What to buy '!D90</f>
        <v>0</v>
      </c>
      <c r="J90" s="5">
        <f>'What to buy '!E90</f>
        <v>0</v>
      </c>
      <c r="K90" s="5">
        <f>'What to buy '!F90</f>
        <v>0</v>
      </c>
      <c r="L90" s="5">
        <f>'What to buy '!G90</f>
        <v>0</v>
      </c>
    </row>
    <row r="91" spans="1:12" x14ac:dyDescent="0.2">
      <c r="A91" s="39"/>
      <c r="B91" s="39"/>
      <c r="C91" s="39"/>
      <c r="D91" s="39"/>
      <c r="E91" s="39"/>
      <c r="G91" t="s">
        <v>23</v>
      </c>
      <c r="H91" s="5">
        <f>ROUNDUP(IF(H90&gt;$C93,$C93,H90)/$E93,0)*$D93+ROUNDUP(IF(H90&gt;$C93,H90-$C93,0)/$E94,0)*$D94</f>
        <v>0</v>
      </c>
      <c r="I91" s="5">
        <f t="shared" ref="I91:L91" si="12">ROUNDUP(IF(I90&gt;$C93,$C93,I90)/$E93,0)*$D93+ROUNDUP(IF(I90&gt;$C93,I90-$C93,0)/$E94,0)*$D94</f>
        <v>0</v>
      </c>
      <c r="J91" s="5">
        <f t="shared" si="12"/>
        <v>0</v>
      </c>
      <c r="K91" s="5">
        <f t="shared" si="12"/>
        <v>0</v>
      </c>
      <c r="L91" s="5">
        <f t="shared" si="12"/>
        <v>0</v>
      </c>
    </row>
    <row r="92" spans="1:12" x14ac:dyDescent="0.2">
      <c r="A92" s="39"/>
      <c r="B92" s="39" t="s">
        <v>58</v>
      </c>
      <c r="C92" s="39" t="s">
        <v>59</v>
      </c>
      <c r="D92" s="39" t="s">
        <v>23</v>
      </c>
      <c r="E92" s="39" t="s">
        <v>60</v>
      </c>
    </row>
    <row r="93" spans="1:12" x14ac:dyDescent="0.2">
      <c r="A93" s="39" t="s">
        <v>36</v>
      </c>
      <c r="B93" s="40">
        <v>0</v>
      </c>
      <c r="C93" s="40">
        <v>100</v>
      </c>
      <c r="D93" s="39">
        <v>2</v>
      </c>
      <c r="E93" s="40">
        <v>1</v>
      </c>
    </row>
    <row r="94" spans="1:12" x14ac:dyDescent="0.2">
      <c r="A94" s="39"/>
      <c r="B94" s="40">
        <f>C93+1</f>
        <v>101</v>
      </c>
      <c r="C94" s="40">
        <v>999999999999</v>
      </c>
      <c r="D94" s="39">
        <v>1</v>
      </c>
      <c r="E94" s="40">
        <v>1</v>
      </c>
    </row>
    <row r="97" spans="1:12" x14ac:dyDescent="0.2">
      <c r="A97" s="32" t="s">
        <v>33</v>
      </c>
      <c r="B97" s="33" t="s">
        <v>54</v>
      </c>
      <c r="C97" s="33"/>
      <c r="D97" s="33"/>
      <c r="E97" s="33"/>
      <c r="G97" t="s">
        <v>55</v>
      </c>
      <c r="H97" s="5">
        <f>'What to buy '!C82</f>
        <v>0</v>
      </c>
      <c r="I97" s="5">
        <f>'What to buy '!D82</f>
        <v>0</v>
      </c>
      <c r="J97" s="5">
        <f>'What to buy '!E82</f>
        <v>0</v>
      </c>
      <c r="K97" s="5">
        <f>'What to buy '!F82</f>
        <v>0</v>
      </c>
      <c r="L97" s="5">
        <f>'What to buy '!G82</f>
        <v>0</v>
      </c>
    </row>
    <row r="98" spans="1:12" x14ac:dyDescent="0.2">
      <c r="A98" s="33" t="s">
        <v>56</v>
      </c>
      <c r="B98" s="33">
        <v>15</v>
      </c>
      <c r="C98" s="33"/>
      <c r="D98" s="33"/>
      <c r="E98" s="33"/>
      <c r="G98" t="s">
        <v>23</v>
      </c>
      <c r="H98" s="5">
        <f>ROUNDUP(IF(H97&gt;$C100,$C100,H97)/$E100,0)*$D100+ROUNDUP(IF(H97&gt;$C100,H97-$C100,0)/$E101,0)*$D101</f>
        <v>0</v>
      </c>
      <c r="I98" s="5">
        <f t="shared" ref="I98:L98" si="13">ROUNDUP(IF(I97&gt;$C100,$C100,I97)/$E100,0)*$D100+ROUNDUP(IF(I97&gt;$C100,I97-$C100,0)/$E101,0)*$D101</f>
        <v>0</v>
      </c>
      <c r="J98" s="5">
        <f t="shared" si="13"/>
        <v>0</v>
      </c>
      <c r="K98" s="5">
        <f t="shared" si="13"/>
        <v>0</v>
      </c>
      <c r="L98" s="5">
        <f t="shared" si="13"/>
        <v>0</v>
      </c>
    </row>
    <row r="99" spans="1:12" x14ac:dyDescent="0.2">
      <c r="A99" s="33"/>
      <c r="B99" s="33" t="s">
        <v>58</v>
      </c>
      <c r="C99" s="33" t="s">
        <v>59</v>
      </c>
      <c r="D99" s="33" t="s">
        <v>23</v>
      </c>
      <c r="E99" s="33" t="s">
        <v>60</v>
      </c>
    </row>
    <row r="100" spans="1:12" x14ac:dyDescent="0.2">
      <c r="A100" s="33" t="s">
        <v>61</v>
      </c>
      <c r="B100" s="34">
        <v>0</v>
      </c>
      <c r="C100" s="34">
        <v>1000000000</v>
      </c>
      <c r="D100" s="33">
        <v>5</v>
      </c>
      <c r="E100" s="34">
        <v>1000000</v>
      </c>
    </row>
    <row r="101" spans="1:12" x14ac:dyDescent="0.2">
      <c r="A101" s="33"/>
      <c r="B101" s="34">
        <f>C100+1</f>
        <v>1000000001</v>
      </c>
      <c r="C101" s="34">
        <v>999999999999</v>
      </c>
      <c r="D101" s="33">
        <v>3</v>
      </c>
      <c r="E101" s="34">
        <f>E100</f>
        <v>1000000</v>
      </c>
    </row>
    <row r="102" spans="1:12" x14ac:dyDescent="0.2">
      <c r="A102" s="32" t="s">
        <v>82</v>
      </c>
      <c r="B102" s="33" t="s">
        <v>54</v>
      </c>
      <c r="C102" s="33"/>
      <c r="D102" s="33"/>
      <c r="E102" s="33"/>
      <c r="G102" t="s">
        <v>55</v>
      </c>
      <c r="H102" s="5">
        <f>'What to buy '!C84</f>
        <v>0</v>
      </c>
      <c r="I102" s="5">
        <f>'What to buy '!D84</f>
        <v>0</v>
      </c>
      <c r="J102" s="5">
        <f>'What to buy '!E84</f>
        <v>0</v>
      </c>
      <c r="K102" s="5">
        <f>'What to buy '!F84</f>
        <v>0</v>
      </c>
      <c r="L102" s="5">
        <f>'What to buy '!G84</f>
        <v>0</v>
      </c>
    </row>
    <row r="103" spans="1:12" x14ac:dyDescent="0.2">
      <c r="A103" s="33"/>
      <c r="B103" s="33"/>
      <c r="C103" s="33"/>
      <c r="D103" s="33"/>
      <c r="E103" s="33"/>
      <c r="G103" t="s">
        <v>23</v>
      </c>
      <c r="H103" s="5">
        <f>ROUNDUP(IF(H102&gt;$C105,$C105,H102)/$E105,0)*$D105+ROUNDUP(IF(H102&gt;$C105,H102-$C105,0)/$E106,0)*$D106</f>
        <v>0</v>
      </c>
      <c r="I103" s="5">
        <f t="shared" ref="I103:L103" si="14">ROUNDUP(IF(I102&gt;$C105,$C105,I102)/$E105,0)*$D105+ROUNDUP(IF(I102&gt;$C105,I102-$C105,0)/$E106,0)*$D106</f>
        <v>0</v>
      </c>
      <c r="J103" s="5">
        <f t="shared" si="14"/>
        <v>0</v>
      </c>
      <c r="K103" s="5">
        <f t="shared" si="14"/>
        <v>0</v>
      </c>
      <c r="L103" s="5">
        <f t="shared" si="14"/>
        <v>0</v>
      </c>
    </row>
    <row r="104" spans="1:12" x14ac:dyDescent="0.2">
      <c r="A104" s="33"/>
      <c r="B104" s="33" t="s">
        <v>58</v>
      </c>
      <c r="C104" s="33" t="s">
        <v>59</v>
      </c>
      <c r="D104" s="33" t="s">
        <v>23</v>
      </c>
      <c r="E104" s="33" t="s">
        <v>60</v>
      </c>
    </row>
    <row r="105" spans="1:12" x14ac:dyDescent="0.2">
      <c r="A105" s="33" t="s">
        <v>61</v>
      </c>
      <c r="B105" s="34">
        <v>0</v>
      </c>
      <c r="C105" s="34">
        <v>1000000000</v>
      </c>
      <c r="D105" s="33">
        <v>5</v>
      </c>
      <c r="E105" s="34">
        <v>2000000</v>
      </c>
    </row>
    <row r="106" spans="1:12" x14ac:dyDescent="0.2">
      <c r="A106" s="33"/>
      <c r="B106" s="34">
        <f>C105+1</f>
        <v>1000000001</v>
      </c>
      <c r="C106" s="34">
        <v>999999999999</v>
      </c>
      <c r="D106" s="33">
        <v>3</v>
      </c>
      <c r="E106" s="34">
        <f>E105</f>
        <v>2000000</v>
      </c>
    </row>
    <row r="109" spans="1:12" x14ac:dyDescent="0.2">
      <c r="A109" s="48" t="s">
        <v>38</v>
      </c>
      <c r="B109" s="49" t="s">
        <v>54</v>
      </c>
      <c r="C109" s="49"/>
      <c r="D109" s="49"/>
      <c r="E109" s="49"/>
    </row>
    <row r="110" spans="1:12" x14ac:dyDescent="0.2">
      <c r="A110" s="49" t="s">
        <v>64</v>
      </c>
      <c r="B110" s="49">
        <v>5</v>
      </c>
      <c r="C110" s="49"/>
      <c r="D110" s="49"/>
      <c r="E110" s="49"/>
      <c r="G110" t="s">
        <v>65</v>
      </c>
      <c r="H110">
        <f>_xlfn.LET(_xlpm.months,MAX(IF('What to buy '!$H7,'What to buy '!C7,0), IF('What to buy '!$H21,'What to buy '!C21,0), IF('What to buy '!$H34,'What to buy '!C34,0), IF('What to buy '!$H51,'What to buy '!C51,0), IF('What to buy '!$H64,'What to buy '!C64,0), IF('What to buy '!$H77,'What to buy '!C77,0)), _xlpm.months)</f>
        <v>0</v>
      </c>
      <c r="I110">
        <f>_xlfn.LET(_xlpm.months,MAX(IF('What to buy '!$H7,'What to buy '!D7,0), IF('What to buy '!$H21,'What to buy '!D21,0), IF('What to buy '!$H34,'What to buy '!D34,0), IF('What to buy '!$H51,'What to buy '!D51,0), IF('What to buy '!$H64,'What to buy '!D64,0), IF('What to buy '!$H77,'What to buy '!D77,0)), _xlpm.months)</f>
        <v>0</v>
      </c>
      <c r="J110">
        <f>_xlfn.LET(_xlpm.months,MAX(IF('What to buy '!$H7,'What to buy '!E7,0), IF('What to buy '!$H21,'What to buy '!E21,0), IF('What to buy '!$H34,'What to buy '!E34,0), IF('What to buy '!$H51,'What to buy '!E51,0), IF('What to buy '!$H64,'What to buy '!E64,0), IF('What to buy '!$H77,'What to buy '!E77,0)), _xlpm.months)</f>
        <v>0</v>
      </c>
      <c r="K110">
        <f>_xlfn.LET(_xlpm.months,MAX(IF('What to buy '!$H7,'What to buy '!F7,0), IF('What to buy '!$H21,'What to buy '!F21,0), IF('What to buy '!$H34,'What to buy '!F34,0), IF('What to buy '!$H51,'What to buy '!F51,0), IF('What to buy '!$H64,'What to buy '!F64,0), IF('What to buy '!$H77,'What to buy '!F77,0)), _xlpm.months)</f>
        <v>0</v>
      </c>
      <c r="L110">
        <f>_xlfn.LET(_xlpm.months,MAX(IF('What to buy '!$H7,'What to buy '!G7,0), IF('What to buy '!$H21,'What to buy '!G21,0), IF('What to buy '!$H34,'What to buy '!G34,0), IF('What to buy '!$H51,'What to buy '!G51,0), IF('What to buy '!$H64,'What to buy '!G64,0), IF('What to buy '!$H77,'What to buy '!G77,0)), _xlpm.months)</f>
        <v>0</v>
      </c>
    </row>
    <row r="111" spans="1:12" x14ac:dyDescent="0.2">
      <c r="A111" s="49"/>
      <c r="B111" s="49"/>
      <c r="C111" s="49"/>
      <c r="D111" s="49"/>
      <c r="E111" s="49"/>
      <c r="G111" t="s">
        <v>66</v>
      </c>
      <c r="H111">
        <f>_xlfn.LET(_xlpm.months,MAX(IF('What to buy '!$H8,'What to buy '!C8,0), IF('What to buy '!$H22,'What to buy '!C22,0), IF('What to buy '!$H35,'What to buy '!C35,0), IF('What to buy '!$H52,'What to buy '!C52,0), IF('What to buy '!$H65,'What to buy '!C65,0), IF('What to buy '!$H78,'What to buy '!C78,0)), _xlpm.months)</f>
        <v>0</v>
      </c>
      <c r="I111">
        <f>_xlfn.LET(_xlpm.months,MAX(IF('What to buy '!$H8,'What to buy '!D8,0), IF('What to buy '!$H22,'What to buy '!D22,0), IF('What to buy '!$H35,'What to buy '!D35,0), IF('What to buy '!$H52,'What to buy '!D52,0), IF('What to buy '!$H65,'What to buy '!D65,0), IF('What to buy '!$H78,'What to buy '!D78,0)), _xlpm.months)</f>
        <v>0</v>
      </c>
      <c r="J111">
        <f>_xlfn.LET(_xlpm.months,MAX(IF('What to buy '!$H8,'What to buy '!E8,0), IF('What to buy '!$H22,'What to buy '!E22,0), IF('What to buy '!$H35,'What to buy '!E35,0), IF('What to buy '!$H52,'What to buy '!E52,0), IF('What to buy '!$H65,'What to buy '!E65,0), IF('What to buy '!$H78,'What to buy '!E78,0)), _xlpm.months)</f>
        <v>0</v>
      </c>
      <c r="K111">
        <f>_xlfn.LET(_xlpm.months,MAX(IF('What to buy '!$H8,'What to buy '!F8,0), IF('What to buy '!$H22,'What to buy '!F22,0), IF('What to buy '!$H35,'What to buy '!F35,0), IF('What to buy '!$H52,'What to buy '!F52,0), IF('What to buy '!$H65,'What to buy '!F65,0), IF('What to buy '!$H78,'What to buy '!F78,0)), _xlpm.months)</f>
        <v>0</v>
      </c>
      <c r="L111">
        <f>_xlfn.LET(_xlpm.months,MAX(IF('What to buy '!$H8,'What to buy '!G8,0), IF('What to buy '!$H22,'What to buy '!G22,0), IF('What to buy '!$H35,'What to buy '!G35,0), IF('What to buy '!$H52,'What to buy '!G52,0), IF('What to buy '!$H65,'What to buy '!G65,0), IF('What to buy '!$H78,'What to buy '!G78,0)), _xlpm.months)</f>
        <v>0</v>
      </c>
    </row>
    <row r="112" spans="1:12" x14ac:dyDescent="0.2">
      <c r="A112" s="49"/>
      <c r="B112" s="49"/>
      <c r="C112" s="49"/>
      <c r="D112" s="49"/>
      <c r="E112" s="49"/>
      <c r="G112" t="s">
        <v>67</v>
      </c>
      <c r="H112">
        <f>_xlfn.LET(_xlpm.months,MAX(IF('What to buy '!$H9,'What to buy '!C9,0), IF('What to buy '!$H23,'What to buy '!C23,0), IF('What to buy '!$H36,'What to buy '!C36,0), IF('What to buy '!$H53,'What to buy '!C53,0), IF('What to buy '!$H66,'What to buy '!C66,0), IF('What to buy '!$H79,'What to buy '!C79,0)), _xlpm.months)</f>
        <v>0</v>
      </c>
      <c r="I112">
        <f>_xlfn.LET(_xlpm.months,MAX(IF('What to buy '!$H9,'What to buy '!D9,0), IF('What to buy '!$H23,'What to buy '!D23,0), IF('What to buy '!$H36,'What to buy '!D36,0), IF('What to buy '!$H53,'What to buy '!D53,0), IF('What to buy '!$H66,'What to buy '!D66,0), IF('What to buy '!$H79,'What to buy '!D79,0)), _xlpm.months)</f>
        <v>0</v>
      </c>
      <c r="J112">
        <f>_xlfn.LET(_xlpm.months,MAX(IF('What to buy '!$H9,'What to buy '!E9,0), IF('What to buy '!$H23,'What to buy '!E23,0), IF('What to buy '!$H36,'What to buy '!E36,0), IF('What to buy '!$H53,'What to buy '!E53,0), IF('What to buy '!$H66,'What to buy '!E66,0), IF('What to buy '!$H79,'What to buy '!E79,0)), _xlpm.months)</f>
        <v>0</v>
      </c>
      <c r="K112">
        <f>_xlfn.LET(_xlpm.months,MAX(IF('What to buy '!$H9,'What to buy '!F9,0), IF('What to buy '!$H23,'What to buy '!F23,0), IF('What to buy '!$H36,'What to buy '!F36,0), IF('What to buy '!$H53,'What to buy '!F53,0), IF('What to buy '!$H66,'What to buy '!F66,0), IF('What to buy '!$H79,'What to buy '!F79,0)), _xlpm.months)</f>
        <v>0</v>
      </c>
      <c r="L112">
        <f>_xlfn.LET(_xlpm.months,MAX(IF('What to buy '!$H9,'What to buy '!G9,0), IF('What to buy '!$H23,'What to buy '!G23,0), IF('What to buy '!$H36,'What to buy '!G36,0), IF('What to buy '!$H53,'What to buy '!G53,0), IF('What to buy '!$H66,'What to buy '!G66,0), IF('What to buy '!$H79,'What to buy '!G79,0)), _xlpm.months)</f>
        <v>0</v>
      </c>
    </row>
    <row r="113" spans="1:12" x14ac:dyDescent="0.2">
      <c r="A113" s="49"/>
      <c r="B113" s="49"/>
      <c r="C113" s="49"/>
      <c r="D113" s="49"/>
      <c r="E113" s="49"/>
      <c r="G113" t="s">
        <v>68</v>
      </c>
      <c r="H113">
        <f>SUM(H110:H112)</f>
        <v>0</v>
      </c>
      <c r="I113">
        <f t="shared" ref="I113:L113" si="15">SUM(I110:I112)</f>
        <v>0</v>
      </c>
      <c r="J113">
        <f t="shared" si="15"/>
        <v>0</v>
      </c>
      <c r="K113">
        <f t="shared" si="15"/>
        <v>0</v>
      </c>
      <c r="L113">
        <f t="shared" si="15"/>
        <v>0</v>
      </c>
    </row>
    <row r="114" spans="1:12" x14ac:dyDescent="0.2">
      <c r="G114" t="s">
        <v>23</v>
      </c>
      <c r="H114">
        <f>H113*$B$110</f>
        <v>0</v>
      </c>
      <c r="I114">
        <f t="shared" ref="I114:L114" si="16">I113*$B$74</f>
        <v>0</v>
      </c>
      <c r="J114">
        <f t="shared" si="16"/>
        <v>0</v>
      </c>
      <c r="K114">
        <f t="shared" si="16"/>
        <v>0</v>
      </c>
      <c r="L114">
        <f t="shared" si="16"/>
        <v>0</v>
      </c>
    </row>
    <row r="116" spans="1:12" x14ac:dyDescent="0.2">
      <c r="G116" t="s">
        <v>69</v>
      </c>
      <c r="H116">
        <f>IF('What to buy '!$H10,'What to buy '!C10, 0)</f>
        <v>0</v>
      </c>
      <c r="I116">
        <f>IF('What to buy '!$H7,'What to buy '!D10, 0)</f>
        <v>0</v>
      </c>
      <c r="J116">
        <f>IF('What to buy '!$H7,'What to buy '!E10, 0)</f>
        <v>0</v>
      </c>
      <c r="K116">
        <f>IF('What to buy '!$H7,'What to buy '!F10, 0)</f>
        <v>0</v>
      </c>
      <c r="L116">
        <f>IF('What to buy '!$H7,'What to buy '!G10, 0)</f>
        <v>0</v>
      </c>
    </row>
    <row r="117" spans="1:12" x14ac:dyDescent="0.2">
      <c r="G117" t="s">
        <v>70</v>
      </c>
      <c r="H117">
        <f>IF('What to buy '!$H24,'What to buy '!C24, 0)</f>
        <v>0</v>
      </c>
      <c r="I117">
        <f>IF('What to buy '!$H24,'What to buy '!D24, 0)</f>
        <v>0</v>
      </c>
      <c r="J117">
        <f>IF('What to buy '!$H24,'What to buy '!E24, 0)</f>
        <v>0</v>
      </c>
      <c r="K117">
        <f>IF('What to buy '!$H24,'What to buy '!F24, 0)</f>
        <v>0</v>
      </c>
      <c r="L117">
        <f>IF('What to buy '!$H24,'What to buy '!G24, 0)</f>
        <v>0</v>
      </c>
    </row>
    <row r="118" spans="1:12" x14ac:dyDescent="0.2">
      <c r="G118" t="s">
        <v>26</v>
      </c>
      <c r="H118">
        <f>IF('What to buy '!H37,'What to buy '!C37, 0)</f>
        <v>0</v>
      </c>
      <c r="I118">
        <f>IF('What to buy '!I37,'What to buy '!D37, 0)</f>
        <v>0</v>
      </c>
      <c r="J118">
        <f>IF('What to buy '!J37,'What to buy '!E37, 0)</f>
        <v>0</v>
      </c>
      <c r="K118">
        <f>IF('What to buy '!K37,'What to buy '!F37, 0)</f>
        <v>0</v>
      </c>
      <c r="L118">
        <f>IF('What to buy '!L37,'What to buy '!G37, 0)</f>
        <v>0</v>
      </c>
    </row>
    <row r="119" spans="1:12" x14ac:dyDescent="0.2">
      <c r="G119" t="s">
        <v>29</v>
      </c>
      <c r="H119">
        <f>IF('What to buy '!$H54,'What to buy '!C54, 0)</f>
        <v>0</v>
      </c>
      <c r="I119">
        <f>IF('What to buy '!$H54,'What to buy '!D54, 0)</f>
        <v>0</v>
      </c>
      <c r="J119">
        <f>IF('What to buy '!$H54,'What to buy '!E54, 0)</f>
        <v>0</v>
      </c>
      <c r="K119">
        <f>IF('What to buy '!$H54,'What to buy '!F54, 0)</f>
        <v>0</v>
      </c>
      <c r="L119">
        <f>IF('What to buy '!$H54,'What to buy '!G54, 0)</f>
        <v>0</v>
      </c>
    </row>
    <row r="120" spans="1:12" x14ac:dyDescent="0.2">
      <c r="G120" t="s">
        <v>71</v>
      </c>
      <c r="H120">
        <f>IF('What to buy '!$H67,'What to buy '!C67, 0)</f>
        <v>0</v>
      </c>
      <c r="I120">
        <f>IF('What to buy '!$H67,'What to buy '!D67, 0)</f>
        <v>0</v>
      </c>
      <c r="J120">
        <f>IF('What to buy '!$H67,'What to buy '!E67, 0)</f>
        <v>0</v>
      </c>
      <c r="K120">
        <f>IF('What to buy '!$H67,'What to buy '!F67, 0)</f>
        <v>0</v>
      </c>
      <c r="L120">
        <f>IF('What to buy '!$H67,'What to buy '!G67, 0)</f>
        <v>0</v>
      </c>
    </row>
    <row r="121" spans="1:12" x14ac:dyDescent="0.2">
      <c r="G121" t="s">
        <v>33</v>
      </c>
      <c r="H121">
        <f>IF('What to buy '!$H80,'What to buy '!C80, 0)</f>
        <v>0</v>
      </c>
      <c r="I121">
        <f>IF('What to buy '!$H80,'What to buy '!D80, 0)</f>
        <v>0</v>
      </c>
      <c r="J121">
        <f>IF('What to buy '!$H80,'What to buy '!E80, 0)</f>
        <v>0</v>
      </c>
      <c r="K121">
        <f>IF('What to buy '!$H80,'What to buy '!F80, 0)</f>
        <v>0</v>
      </c>
      <c r="L121">
        <f>IF('What to buy '!$H80,'What to buy '!G80, 0)</f>
        <v>0</v>
      </c>
    </row>
    <row r="123" spans="1:12" x14ac:dyDescent="0.2">
      <c r="G123" t="s">
        <v>72</v>
      </c>
      <c r="H123">
        <f>MAX(H116:H121)</f>
        <v>0</v>
      </c>
      <c r="I123">
        <f t="shared" ref="I123:L123" si="17">MAX(I116:I121)</f>
        <v>0</v>
      </c>
      <c r="J123">
        <f t="shared" si="17"/>
        <v>0</v>
      </c>
      <c r="K123">
        <f t="shared" si="17"/>
        <v>0</v>
      </c>
      <c r="L123">
        <f t="shared" si="17"/>
        <v>0</v>
      </c>
    </row>
    <row r="124" spans="1:12" x14ac:dyDescent="0.2">
      <c r="G124" t="s">
        <v>73</v>
      </c>
      <c r="H124">
        <f>H123*12*$B$110</f>
        <v>0</v>
      </c>
      <c r="I124">
        <f t="shared" ref="I124:L124" si="18">I123*12*$B$110</f>
        <v>0</v>
      </c>
      <c r="J124">
        <f t="shared" si="18"/>
        <v>0</v>
      </c>
      <c r="K124">
        <f t="shared" si="18"/>
        <v>0</v>
      </c>
      <c r="L124">
        <f t="shared" si="18"/>
        <v>0</v>
      </c>
    </row>
    <row r="125" spans="1:12" x14ac:dyDescent="0.2">
      <c r="G125" t="s">
        <v>74</v>
      </c>
      <c r="H125">
        <f>H124+H114</f>
        <v>0</v>
      </c>
      <c r="I125">
        <f t="shared" ref="I125:L125" si="19">I124+I114</f>
        <v>0</v>
      </c>
      <c r="J125">
        <f t="shared" si="19"/>
        <v>0</v>
      </c>
      <c r="K125">
        <f t="shared" si="19"/>
        <v>0</v>
      </c>
      <c r="L125">
        <f t="shared" si="19"/>
        <v>0</v>
      </c>
    </row>
    <row r="128" spans="1:12" x14ac:dyDescent="0.2">
      <c r="A128" s="69" t="s">
        <v>87</v>
      </c>
      <c r="B128" s="67"/>
      <c r="C128" s="67"/>
      <c r="D128" s="67"/>
      <c r="E128" s="67"/>
      <c r="G128" t="s">
        <v>55</v>
      </c>
      <c r="H128" s="5">
        <f>'What to buy '!C99</f>
        <v>0</v>
      </c>
      <c r="I128" s="5">
        <f>'What to buy '!D99</f>
        <v>0</v>
      </c>
      <c r="J128" s="5">
        <f>'What to buy '!E99</f>
        <v>0</v>
      </c>
      <c r="K128" s="5">
        <f>'What to buy '!F99</f>
        <v>0</v>
      </c>
      <c r="L128" s="5">
        <f>'What to buy '!G99</f>
        <v>0</v>
      </c>
    </row>
    <row r="129" spans="1:12" x14ac:dyDescent="0.2">
      <c r="A129" s="67"/>
      <c r="B129" s="67"/>
      <c r="C129" s="67"/>
      <c r="D129" s="67"/>
      <c r="E129" s="67"/>
      <c r="G129" t="s">
        <v>23</v>
      </c>
      <c r="H129" s="5">
        <f>ROUNDUP(IF(H128&gt;$C131,$C131,H128)/$E131,0)*$D131+ROUNDUP(IF(H128&gt;$C131,H128-$C131,0)/$E132,0)*$D132</f>
        <v>0</v>
      </c>
      <c r="I129" s="5">
        <f t="shared" ref="I129:L129" si="20">ROUNDUP(IF(I128&gt;$C131,$C131,I128)/$E131,0)*$D131+ROUNDUP(IF(I128&gt;$C131,I128-$C131,0)/$E132,0)*$D132</f>
        <v>0</v>
      </c>
      <c r="J129" s="5">
        <f t="shared" si="20"/>
        <v>0</v>
      </c>
      <c r="K129" s="5">
        <f t="shared" si="20"/>
        <v>0</v>
      </c>
      <c r="L129" s="5">
        <f t="shared" si="20"/>
        <v>0</v>
      </c>
    </row>
    <row r="130" spans="1:12" x14ac:dyDescent="0.2">
      <c r="A130" s="67"/>
      <c r="B130" s="67" t="s">
        <v>58</v>
      </c>
      <c r="C130" s="67" t="s">
        <v>59</v>
      </c>
      <c r="D130" s="67" t="s">
        <v>23</v>
      </c>
      <c r="E130" s="67" t="s">
        <v>60</v>
      </c>
    </row>
    <row r="131" spans="1:12" x14ac:dyDescent="0.2">
      <c r="A131" s="67" t="s">
        <v>61</v>
      </c>
      <c r="B131" s="68">
        <v>0</v>
      </c>
      <c r="C131" s="68">
        <v>1000000000</v>
      </c>
      <c r="D131" s="67">
        <v>6</v>
      </c>
      <c r="E131" s="68">
        <v>1000000</v>
      </c>
    </row>
    <row r="132" spans="1:12" x14ac:dyDescent="0.2">
      <c r="A132" s="67"/>
      <c r="B132" s="68">
        <f>C131+1</f>
        <v>1000000001</v>
      </c>
      <c r="C132" s="68">
        <v>999999999999</v>
      </c>
      <c r="D132" s="67">
        <v>4</v>
      </c>
      <c r="E132" s="68">
        <f>E131</f>
        <v>1000000</v>
      </c>
    </row>
    <row r="133" spans="1:12" x14ac:dyDescent="0.2">
      <c r="A133" s="69" t="s">
        <v>88</v>
      </c>
      <c r="B133" s="67"/>
      <c r="C133" s="67"/>
      <c r="D133" s="67"/>
      <c r="E133" s="67"/>
      <c r="G133" t="s">
        <v>55</v>
      </c>
      <c r="H133" s="5">
        <f>'What to buy '!C101</f>
        <v>0</v>
      </c>
      <c r="I133" s="5">
        <f>'What to buy '!D101</f>
        <v>0</v>
      </c>
      <c r="J133" s="5">
        <f>'What to buy '!E101</f>
        <v>0</v>
      </c>
      <c r="K133" s="5">
        <f>'What to buy '!F101</f>
        <v>0</v>
      </c>
      <c r="L133" s="5">
        <f>'What to buy '!G101</f>
        <v>0</v>
      </c>
    </row>
    <row r="134" spans="1:12" x14ac:dyDescent="0.2">
      <c r="A134" s="67"/>
      <c r="B134" s="67"/>
      <c r="C134" s="67"/>
      <c r="D134" s="67"/>
      <c r="E134" s="67"/>
      <c r="G134" t="s">
        <v>23</v>
      </c>
      <c r="H134" s="5">
        <f>ROUNDUP(IF(H133&gt;$C136,$C136,H133)/$E136,0)*$D136+ROUNDUP(IF(H133&gt;$C136,H133-$C136,0)/$E137,0)*$D137</f>
        <v>0</v>
      </c>
      <c r="I134" s="5">
        <f t="shared" ref="I134:L134" si="21">ROUNDUP(IF(I133&gt;$C136,$C136,I133)/$E136,0)*$D136+ROUNDUP(IF(I133&gt;$C136,I133-$C136,0)/$E137,0)*$D137</f>
        <v>0</v>
      </c>
      <c r="J134" s="5">
        <f t="shared" si="21"/>
        <v>0</v>
      </c>
      <c r="K134" s="5">
        <f t="shared" si="21"/>
        <v>0</v>
      </c>
      <c r="L134" s="5">
        <f t="shared" si="21"/>
        <v>0</v>
      </c>
    </row>
    <row r="135" spans="1:12" x14ac:dyDescent="0.2">
      <c r="A135" s="67"/>
      <c r="B135" s="67" t="s">
        <v>58</v>
      </c>
      <c r="C135" s="67" t="s">
        <v>59</v>
      </c>
      <c r="D135" s="67" t="s">
        <v>23</v>
      </c>
      <c r="E135" s="67" t="s">
        <v>60</v>
      </c>
    </row>
    <row r="136" spans="1:12" x14ac:dyDescent="0.2">
      <c r="A136" s="67" t="s">
        <v>61</v>
      </c>
      <c r="B136" s="68">
        <v>0</v>
      </c>
      <c r="C136" s="68">
        <v>1000000000</v>
      </c>
      <c r="D136" s="67">
        <v>6</v>
      </c>
      <c r="E136" s="68">
        <v>2000000</v>
      </c>
    </row>
    <row r="137" spans="1:12" x14ac:dyDescent="0.2">
      <c r="A137" s="67"/>
      <c r="B137" s="68">
        <f>C136+1</f>
        <v>1000000001</v>
      </c>
      <c r="C137" s="68">
        <v>999999999999</v>
      </c>
      <c r="D137" s="67">
        <v>4</v>
      </c>
      <c r="E137" s="68">
        <f>E136</f>
        <v>2000000</v>
      </c>
    </row>
  </sheetData>
  <sheetProtection algorithmName="SHA-512" hashValue="baLaIIYFzOjKgSoqjwTMdzmwqJpWRGBHxYEbGq2sX9pPE2cVRDelvJJ0ro/iPE7FMyPIfS7hq/tfaPQTo3WbOA==" saltValue="uzv27dnuPk5EXVA6gjFIag==" spinCount="100000" sheet="1" scenarios="1" selectLockedCells="1" selectUnlockedCells="1"/>
  <phoneticPr fontId="6" type="noConversion"/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371FCB5C635849B49F7D9856A92D45" ma:contentTypeVersion="14" ma:contentTypeDescription="Create a new document." ma:contentTypeScope="" ma:versionID="d83b13e9c5172faa3b9527aa9093e404">
  <xsd:schema xmlns:xsd="http://www.w3.org/2001/XMLSchema" xmlns:xs="http://www.w3.org/2001/XMLSchema" xmlns:p="http://schemas.microsoft.com/office/2006/metadata/properties" xmlns:ns2="fbfa2de3-d560-49c4-aba4-7843de670fcc" xmlns:ns3="a417c089-58f9-480a-aff6-6556245e27fa" targetNamespace="http://schemas.microsoft.com/office/2006/metadata/properties" ma:root="true" ma:fieldsID="6ab8c2d5804fd8ad79009a04ccbe6f54" ns2:_="" ns3:_="">
    <xsd:import namespace="fbfa2de3-d560-49c4-aba4-7843de670fcc"/>
    <xsd:import namespace="a417c089-58f9-480a-aff6-6556245e27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a2de3-d560-49c4-aba4-7843de670f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19edae7-b79a-4a5e-b725-af92424e05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17c089-58f9-480a-aff6-6556245e27f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c42fe4f-a32f-4cdd-807d-6a3aacaf8d10}" ma:internalName="TaxCatchAll" ma:showField="CatchAllData" ma:web="a417c089-58f9-480a-aff6-6556245e27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bfa2de3-d560-49c4-aba4-7843de670fcc">
      <Terms xmlns="http://schemas.microsoft.com/office/infopath/2007/PartnerControls"/>
    </lcf76f155ced4ddcb4097134ff3c332f>
    <TaxCatchAll xmlns="a417c089-58f9-480a-aff6-6556245e27fa" xsi:nil="true"/>
  </documentManagement>
</p:properties>
</file>

<file path=customXml/itemProps1.xml><?xml version="1.0" encoding="utf-8"?>
<ds:datastoreItem xmlns:ds="http://schemas.openxmlformats.org/officeDocument/2006/customXml" ds:itemID="{022D90AF-9786-46E2-A99E-05DDCBC28C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fa2de3-d560-49c4-aba4-7843de670fcc"/>
    <ds:schemaRef ds:uri="a417c089-58f9-480a-aff6-6556245e27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15E456-EB11-4790-86ED-2489AA3BAD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E47193-B72C-4843-9337-3D427541E298}">
  <ds:schemaRefs>
    <ds:schemaRef ds:uri="http://purl.org/dc/elements/1.1/"/>
    <ds:schemaRef ds:uri="a417c089-58f9-480a-aff6-6556245e27fa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fbfa2de3-d560-49c4-aba4-7843de670fc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 to buy </vt:lpstr>
      <vt:lpstr>Master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Heywood</dc:creator>
  <cp:keywords/>
  <dc:description/>
  <cp:lastModifiedBy>Mrinal Handa</cp:lastModifiedBy>
  <cp:revision/>
  <dcterms:created xsi:type="dcterms:W3CDTF">2024-12-20T08:08:07Z</dcterms:created>
  <dcterms:modified xsi:type="dcterms:W3CDTF">2026-07-02T08:09:25Z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0x010100A4371FCB5C635849B49F7D9856A92D45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_activity">
    <vt:lpwstr>{"FileActivityType":"9","FileActivityTimeStamp":"2025-01-13T07:06:59.660Z","FileActivityUsersOnPage":[{"DisplayName":"Jonathan Heywood","Id":"jonathan.heywood@ibm.com"}],"FileActivityNavigationId":null}</vt:lpwstr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